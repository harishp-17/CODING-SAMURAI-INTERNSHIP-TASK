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0f0723511d34702/Documents/CODING SAMURAI/"/>
    </mc:Choice>
  </mc:AlternateContent>
  <xr:revisionPtr revIDLastSave="11" documentId="8_{604E33CE-F308-41B6-AF94-3DC3887F5417}" xr6:coauthVersionLast="47" xr6:coauthVersionMax="47" xr10:uidLastSave="{49EFEEA0-34FB-4366-A103-597E3927D7AD}"/>
  <bookViews>
    <workbookView xWindow="-108" yWindow="-108" windowWidth="23256" windowHeight="13896" activeTab="2" xr2:uid="{F65B3B63-DA05-4BE8-A70D-6C86EC49E9E8}"/>
  </bookViews>
  <sheets>
    <sheet name="Database" sheetId="1" r:id="rId1"/>
    <sheet name="PivotTable" sheetId="2" r:id="rId2"/>
    <sheet name="Dashboard" sheetId="3" r:id="rId3"/>
  </sheets>
  <definedNames>
    <definedName name="Slicer_YearMont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 i="3" l="1"/>
</calcChain>
</file>

<file path=xl/sharedStrings.xml><?xml version="1.0" encoding="utf-8"?>
<sst xmlns="http://schemas.openxmlformats.org/spreadsheetml/2006/main" count="2594" uniqueCount="130">
  <si>
    <t>OrderID</t>
  </si>
  <si>
    <t>Date</t>
  </si>
  <si>
    <t>Product</t>
  </si>
  <si>
    <t>Quantity</t>
  </si>
  <si>
    <t>Region</t>
  </si>
  <si>
    <t>UnitPrice</t>
  </si>
  <si>
    <t>Sales</t>
  </si>
  <si>
    <t>YearMonth</t>
  </si>
  <si>
    <t>MonthShort</t>
  </si>
  <si>
    <t>Gadget Z</t>
  </si>
  <si>
    <t>South</t>
  </si>
  <si>
    <t>2023-01</t>
  </si>
  <si>
    <t>January 2023</t>
  </si>
  <si>
    <t>Jan 2023</t>
  </si>
  <si>
    <t>Component M</t>
  </si>
  <si>
    <t>North</t>
  </si>
  <si>
    <t>Widget A</t>
  </si>
  <si>
    <t>Component L</t>
  </si>
  <si>
    <t>East</t>
  </si>
  <si>
    <t>Widget B</t>
  </si>
  <si>
    <t>Accessory 1</t>
  </si>
  <si>
    <t>West</t>
  </si>
  <si>
    <t>Accessory 2</t>
  </si>
  <si>
    <t>Widget C</t>
  </si>
  <si>
    <t>Gadget X</t>
  </si>
  <si>
    <t>2023-02</t>
  </si>
  <si>
    <t>February 2023</t>
  </si>
  <si>
    <t>Feb 2023</t>
  </si>
  <si>
    <t>Gadget Y</t>
  </si>
  <si>
    <t>2023-03</t>
  </si>
  <si>
    <t>March 2023</t>
  </si>
  <si>
    <t>Mar 2023</t>
  </si>
  <si>
    <t>2023-04</t>
  </si>
  <si>
    <t>April 2023</t>
  </si>
  <si>
    <t>Apr 2023</t>
  </si>
  <si>
    <t>2023-05</t>
  </si>
  <si>
    <t>May 2023</t>
  </si>
  <si>
    <t>2023-06</t>
  </si>
  <si>
    <t>June 2023</t>
  </si>
  <si>
    <t>Jun 2023</t>
  </si>
  <si>
    <t>2023-07</t>
  </si>
  <si>
    <t>July 2023</t>
  </si>
  <si>
    <t>Jul 2023</t>
  </si>
  <si>
    <t>2023-08</t>
  </si>
  <si>
    <t>August 2023</t>
  </si>
  <si>
    <t>Aug 2023</t>
  </si>
  <si>
    <t>2023-09</t>
  </si>
  <si>
    <t>September 2023</t>
  </si>
  <si>
    <t>Sep 2023</t>
  </si>
  <si>
    <t>2023-10</t>
  </si>
  <si>
    <t>October 2023</t>
  </si>
  <si>
    <t>Oct 2023</t>
  </si>
  <si>
    <t>2023-11</t>
  </si>
  <si>
    <t>November 2023</t>
  </si>
  <si>
    <t>Nov 2023</t>
  </si>
  <si>
    <t>2023-12</t>
  </si>
  <si>
    <t>December 2023</t>
  </si>
  <si>
    <t>Dec 2023</t>
  </si>
  <si>
    <t>2024-01</t>
  </si>
  <si>
    <t>January 2024</t>
  </si>
  <si>
    <t>Jan 2024</t>
  </si>
  <si>
    <t>2024-02</t>
  </si>
  <si>
    <t>February 2024</t>
  </si>
  <si>
    <t>Feb 2024</t>
  </si>
  <si>
    <t>2024-03</t>
  </si>
  <si>
    <t>March 2024</t>
  </si>
  <si>
    <t>Mar 2024</t>
  </si>
  <si>
    <t>2024-04</t>
  </si>
  <si>
    <t>April 2024</t>
  </si>
  <si>
    <t>Apr 2024</t>
  </si>
  <si>
    <t>2024-05</t>
  </si>
  <si>
    <t>May 2024</t>
  </si>
  <si>
    <t>2024-06</t>
  </si>
  <si>
    <t>June 2024</t>
  </si>
  <si>
    <t>Jun 2024</t>
  </si>
  <si>
    <t>2024-07</t>
  </si>
  <si>
    <t>July 2024</t>
  </si>
  <si>
    <t>Jul 2024</t>
  </si>
  <si>
    <t>2024-08</t>
  </si>
  <si>
    <t>August 2024</t>
  </si>
  <si>
    <t>Aug 2024</t>
  </si>
  <si>
    <t>2024-09</t>
  </si>
  <si>
    <t>September 2024</t>
  </si>
  <si>
    <t>Sep 2024</t>
  </si>
  <si>
    <t>2024-10</t>
  </si>
  <si>
    <t>October 2024</t>
  </si>
  <si>
    <t>Oct 2024</t>
  </si>
  <si>
    <t>2024-11</t>
  </si>
  <si>
    <t>November 2024</t>
  </si>
  <si>
    <t>Nov 2024</t>
  </si>
  <si>
    <t>2024-12</t>
  </si>
  <si>
    <t>December 2024</t>
  </si>
  <si>
    <t>Dec 2024</t>
  </si>
  <si>
    <t>2025-01</t>
  </si>
  <si>
    <t>January 2025</t>
  </si>
  <si>
    <t>Jan 2025</t>
  </si>
  <si>
    <t>2025-02</t>
  </si>
  <si>
    <t>February 2025</t>
  </si>
  <si>
    <t>Feb 2025</t>
  </si>
  <si>
    <t>2025-03</t>
  </si>
  <si>
    <t>March 2025</t>
  </si>
  <si>
    <t>Mar 2025</t>
  </si>
  <si>
    <t>2025-04</t>
  </si>
  <si>
    <t>April 2025</t>
  </si>
  <si>
    <t>Apr 2025</t>
  </si>
  <si>
    <t>2025-05</t>
  </si>
  <si>
    <t>May 2025</t>
  </si>
  <si>
    <t>2025-06</t>
  </si>
  <si>
    <t>June 2025</t>
  </si>
  <si>
    <t>Jun 2025</t>
  </si>
  <si>
    <t>2025-07</t>
  </si>
  <si>
    <t>July 2025</t>
  </si>
  <si>
    <t>Jul 2025</t>
  </si>
  <si>
    <t>2025-08</t>
  </si>
  <si>
    <t>August 2025</t>
  </si>
  <si>
    <t>Aug 2025</t>
  </si>
  <si>
    <t>2025-09</t>
  </si>
  <si>
    <t>September 2025</t>
  </si>
  <si>
    <t>Sep 2025</t>
  </si>
  <si>
    <t>2025-10</t>
  </si>
  <si>
    <t>October 2025</t>
  </si>
  <si>
    <t>Oct 2025</t>
  </si>
  <si>
    <t>Month Full</t>
  </si>
  <si>
    <t>Row Labels</t>
  </si>
  <si>
    <t>Grand Total</t>
  </si>
  <si>
    <t>Sum of Sales</t>
  </si>
  <si>
    <t>Monthly Sales Trend</t>
  </si>
  <si>
    <t>Best And Worst</t>
  </si>
  <si>
    <t>Sum of OrderID</t>
  </si>
  <si>
    <t>Region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</si>
</sst>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tint="0.34998626667073579"/>
      <name val="Arial"/>
      <family val="2"/>
    </font>
    <font>
      <sz val="11"/>
      <color theme="1"/>
      <name val="Arial"/>
      <family val="2"/>
    </font>
    <font>
      <sz val="12"/>
      <color theme="1"/>
      <name val="Arial"/>
      <family val="2"/>
    </font>
    <font>
      <sz val="12"/>
      <color rgb="FFFF0000"/>
      <name val="Abadi"/>
      <family val="2"/>
    </font>
  </fonts>
  <fills count="7">
    <fill>
      <patternFill patternType="none"/>
    </fill>
    <fill>
      <patternFill patternType="gray125"/>
    </fill>
    <fill>
      <patternFill patternType="solid">
        <fgColor theme="4" tint="0.79998168889431442"/>
        <bgColor indexed="64"/>
      </patternFill>
    </fill>
    <fill>
      <patternFill patternType="solid">
        <fgColor rgb="FFF3F890"/>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0" tint="-4.9989318521683403E-2"/>
        <bgColor indexed="64"/>
      </patternFill>
    </fill>
  </fills>
  <borders count="3">
    <border>
      <left/>
      <right/>
      <top/>
      <bottom/>
      <diagonal/>
    </border>
    <border>
      <left/>
      <right style="thin">
        <color rgb="FFF3F890"/>
      </right>
      <top/>
      <bottom/>
      <diagonal/>
    </border>
    <border>
      <left/>
      <right style="thin">
        <color rgb="FFF3F890"/>
      </right>
      <top/>
      <bottom style="thin">
        <color rgb="FFF3F890"/>
      </bottom>
      <diagonal/>
    </border>
  </borders>
  <cellStyleXfs count="1">
    <xf numFmtId="0" fontId="0" fillId="0" borderId="0"/>
  </cellStyleXfs>
  <cellXfs count="15">
    <xf numFmtId="0" fontId="0" fillId="0" borderId="0" xfId="0"/>
    <xf numFmtId="0" fontId="3" fillId="0" borderId="0" xfId="0" applyFont="1" applyAlignment="1">
      <alignment horizontal="center"/>
    </xf>
    <xf numFmtId="164" fontId="3" fillId="0" borderId="0" xfId="0" applyNumberFormat="1" applyFont="1" applyAlignment="1">
      <alignment horizontal="center"/>
    </xf>
    <xf numFmtId="0" fontId="3" fillId="2" borderId="0" xfId="0" applyFont="1" applyFill="1" applyAlignment="1">
      <alignment horizontal="center"/>
    </xf>
    <xf numFmtId="164" fontId="3" fillId="2" borderId="0" xfId="0" applyNumberFormat="1" applyFont="1" applyFill="1" applyAlignment="1">
      <alignment horizontal="center"/>
    </xf>
    <xf numFmtId="0" fontId="0" fillId="3" borderId="1" xfId="0" applyFill="1" applyBorder="1"/>
    <xf numFmtId="0" fontId="0" fillId="3" borderId="2" xfId="0" applyFill="1" applyBorder="1"/>
    <xf numFmtId="0" fontId="1" fillId="4" borderId="0" xfId="0" applyFont="1" applyFill="1" applyAlignment="1">
      <alignment horizontal="center" vertical="center"/>
    </xf>
    <xf numFmtId="0" fontId="0" fillId="0" borderId="0" xfId="0" applyAlignment="1">
      <alignment horizontal="left"/>
    </xf>
    <xf numFmtId="0" fontId="0" fillId="5" borderId="0" xfId="0" applyFill="1"/>
    <xf numFmtId="0" fontId="2" fillId="0" borderId="0" xfId="0" applyFont="1" applyAlignment="1">
      <alignment horizontal="left"/>
    </xf>
    <xf numFmtId="0" fontId="2" fillId="0" borderId="0" xfId="0" applyFont="1"/>
    <xf numFmtId="0" fontId="0" fillId="6" borderId="0" xfId="0" applyFill="1"/>
    <xf numFmtId="0" fontId="4" fillId="0" borderId="0" xfId="0" applyFont="1" applyAlignment="1">
      <alignment horizontal="center"/>
    </xf>
    <xf numFmtId="0" fontId="0" fillId="0" borderId="0" xfId="0" applyAlignment="1">
      <alignment horizontal="center"/>
    </xf>
  </cellXfs>
  <cellStyles count="1">
    <cellStyle name="Normal" xfId="0" builtinId="0"/>
  </cellStyles>
  <dxfs count="11">
    <dxf>
      <fill>
        <patternFill patternType="solid">
          <fgColor indexed="64"/>
          <bgColor theme="4" tint="0.39997558519241921"/>
        </patternFill>
      </fill>
    </dxf>
    <dxf>
      <fill>
        <patternFill patternType="solid">
          <fgColor indexed="64"/>
          <bgColor theme="4" tint="0.39997558519241921"/>
        </patternFill>
      </fill>
    </dxf>
    <dxf>
      <fill>
        <patternFill patternType="solid">
          <bgColor theme="4" tint="0.39997558519241921"/>
        </patternFill>
      </fill>
    </dxf>
    <dxf>
      <font>
        <sz val="11"/>
      </font>
    </dxf>
    <dxf>
      <font>
        <name val="Arial"/>
        <scheme val="none"/>
      </font>
    </dxf>
    <dxf>
      <fill>
        <patternFill patternType="solid">
          <bgColor theme="4" tint="0.39997558519241921"/>
        </patternFill>
      </fill>
    </dxf>
    <dxf>
      <fill>
        <patternFill patternType="solid">
          <bgColor theme="4" tint="0.39997558519241921"/>
        </patternFill>
      </fill>
    </dxf>
    <dxf>
      <font>
        <sz val="11"/>
      </font>
    </dxf>
    <dxf>
      <font>
        <name val="Arial"/>
        <scheme val="none"/>
      </font>
    </dxf>
    <dxf>
      <fill>
        <patternFill patternType="solid">
          <bgColor theme="4" tint="0.39997558519241921"/>
        </patternFill>
      </fill>
    </dxf>
    <dxf>
      <fill>
        <patternFill patternType="solid">
          <bgColor theme="4" tint="0.39997558519241921"/>
        </patternFill>
      </fill>
    </dxf>
  </dxfs>
  <tableStyles count="0" defaultTableStyle="TableStyleMedium2" defaultPivotStyle="PivotStyleLight16"/>
  <colors>
    <mruColors>
      <color rgb="FFF3F8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[MONTHLY SALES TRENDS ^0 ANALYSIS.xlsx]PivotTable!PivotTable1</c:name>
    <c:fmtId val="14"/>
  </c:pivotSource>
  <c:chart>
    <c:title>
      <c:tx>
        <c:rich>
          <a:bodyPr rot="0" spcFirstLastPara="1" vertOverflow="ellipsis" vert="horz" wrap="square" anchor="ctr" anchorCtr="1"/>
          <a:lstStyle/>
          <a:p>
            <a:pPr>
              <a:defRPr sz="1500" b="1" i="1" u="none" strike="noStrike" kern="1200" cap="all" spc="100" normalizeH="0" baseline="0">
                <a:solidFill>
                  <a:srgbClr val="FF0000"/>
                </a:solidFill>
                <a:latin typeface="+mn-lt"/>
                <a:ea typeface="+mn-ea"/>
                <a:cs typeface="+mn-cs"/>
              </a:defRPr>
            </a:pPr>
            <a:r>
              <a:rPr lang="en-IN" i="1">
                <a:solidFill>
                  <a:srgbClr val="FF0000"/>
                </a:solidFill>
              </a:rPr>
              <a:t>Monthly Sales Trend</a:t>
            </a:r>
            <a:endParaRPr lang="en-US" i="1">
              <a:solidFill>
                <a:srgbClr val="FF0000"/>
              </a:solidFill>
            </a:endParaRPr>
          </a:p>
        </c:rich>
      </c:tx>
      <c:overlay val="0"/>
      <c:spPr>
        <a:noFill/>
        <a:ln>
          <a:noFill/>
        </a:ln>
        <a:effectLst/>
      </c:spPr>
      <c:txPr>
        <a:bodyPr rot="0" spcFirstLastPara="1" vertOverflow="ellipsis" vert="horz" wrap="square" anchor="ctr" anchorCtr="1"/>
        <a:lstStyle/>
        <a:p>
          <a:pPr>
            <a:defRPr sz="1500" b="1" i="1" u="none" strike="noStrike" kern="1200" cap="all" spc="100" normalizeH="0" baseline="0">
              <a:solidFill>
                <a:srgbClr val="FF0000"/>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PivotTable!$C$3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PivotTable!$B$4:$B$38</c:f>
              <c:strCache>
                <c:ptCount val="34"/>
                <c:pt idx="0">
                  <c:v>April 2023</c:v>
                </c:pt>
                <c:pt idx="1">
                  <c:v>April 2024</c:v>
                </c:pt>
                <c:pt idx="2">
                  <c:v>April 2025</c:v>
                </c:pt>
                <c:pt idx="3">
                  <c:v>August 2023</c:v>
                </c:pt>
                <c:pt idx="4">
                  <c:v>August 2024</c:v>
                </c:pt>
                <c:pt idx="5">
                  <c:v>August 2025</c:v>
                </c:pt>
                <c:pt idx="6">
                  <c:v>December 2023</c:v>
                </c:pt>
                <c:pt idx="7">
                  <c:v>December 2024</c:v>
                </c:pt>
                <c:pt idx="8">
                  <c:v>February 2023</c:v>
                </c:pt>
                <c:pt idx="9">
                  <c:v>February 2024</c:v>
                </c:pt>
                <c:pt idx="10">
                  <c:v>February 2025</c:v>
                </c:pt>
                <c:pt idx="11">
                  <c:v>January 2023</c:v>
                </c:pt>
                <c:pt idx="12">
                  <c:v>January 2024</c:v>
                </c:pt>
                <c:pt idx="13">
                  <c:v>January 2025</c:v>
                </c:pt>
                <c:pt idx="14">
                  <c:v>July 2023</c:v>
                </c:pt>
                <c:pt idx="15">
                  <c:v>July 2024</c:v>
                </c:pt>
                <c:pt idx="16">
                  <c:v>July 2025</c:v>
                </c:pt>
                <c:pt idx="17">
                  <c:v>June 2023</c:v>
                </c:pt>
                <c:pt idx="18">
                  <c:v>June 2024</c:v>
                </c:pt>
                <c:pt idx="19">
                  <c:v>June 2025</c:v>
                </c:pt>
                <c:pt idx="20">
                  <c:v>March 2023</c:v>
                </c:pt>
                <c:pt idx="21">
                  <c:v>March 2024</c:v>
                </c:pt>
                <c:pt idx="22">
                  <c:v>March 2025</c:v>
                </c:pt>
                <c:pt idx="23">
                  <c:v>May 2023</c:v>
                </c:pt>
                <c:pt idx="24">
                  <c:v>May 2024</c:v>
                </c:pt>
                <c:pt idx="25">
                  <c:v>May 2025</c:v>
                </c:pt>
                <c:pt idx="26">
                  <c:v>November 2023</c:v>
                </c:pt>
                <c:pt idx="27">
                  <c:v>November 2024</c:v>
                </c:pt>
                <c:pt idx="28">
                  <c:v>October 2023</c:v>
                </c:pt>
                <c:pt idx="29">
                  <c:v>October 2024</c:v>
                </c:pt>
                <c:pt idx="30">
                  <c:v>October 2025</c:v>
                </c:pt>
                <c:pt idx="31">
                  <c:v>September 2023</c:v>
                </c:pt>
                <c:pt idx="32">
                  <c:v>September 2024</c:v>
                </c:pt>
                <c:pt idx="33">
                  <c:v>September 2025</c:v>
                </c:pt>
              </c:strCache>
            </c:strRef>
          </c:cat>
          <c:val>
            <c:numRef>
              <c:f>PivotTable!$C$4:$C$38</c:f>
              <c:numCache>
                <c:formatCode>General</c:formatCode>
                <c:ptCount val="34"/>
                <c:pt idx="0">
                  <c:v>2208.62</c:v>
                </c:pt>
                <c:pt idx="1">
                  <c:v>1529.1200000000001</c:v>
                </c:pt>
                <c:pt idx="2">
                  <c:v>1909.2199999999998</c:v>
                </c:pt>
                <c:pt idx="3">
                  <c:v>2106.9</c:v>
                </c:pt>
                <c:pt idx="4">
                  <c:v>1223.44</c:v>
                </c:pt>
                <c:pt idx="5">
                  <c:v>2532.5700000000002</c:v>
                </c:pt>
                <c:pt idx="6">
                  <c:v>1459.85</c:v>
                </c:pt>
                <c:pt idx="7">
                  <c:v>1064.72</c:v>
                </c:pt>
                <c:pt idx="8">
                  <c:v>1888.67</c:v>
                </c:pt>
                <c:pt idx="9">
                  <c:v>1822.84</c:v>
                </c:pt>
                <c:pt idx="10">
                  <c:v>1733.07</c:v>
                </c:pt>
                <c:pt idx="11">
                  <c:v>1459.29</c:v>
                </c:pt>
                <c:pt idx="12">
                  <c:v>1634.4</c:v>
                </c:pt>
                <c:pt idx="13">
                  <c:v>2563.84</c:v>
                </c:pt>
                <c:pt idx="14">
                  <c:v>1535.6299999999999</c:v>
                </c:pt>
                <c:pt idx="15">
                  <c:v>2008.42</c:v>
                </c:pt>
                <c:pt idx="16">
                  <c:v>1424.97</c:v>
                </c:pt>
                <c:pt idx="17">
                  <c:v>1250.3199999999997</c:v>
                </c:pt>
                <c:pt idx="18">
                  <c:v>1119.49</c:v>
                </c:pt>
                <c:pt idx="19">
                  <c:v>1994.8700000000001</c:v>
                </c:pt>
                <c:pt idx="20">
                  <c:v>612.76</c:v>
                </c:pt>
                <c:pt idx="21">
                  <c:v>1807.8600000000004</c:v>
                </c:pt>
                <c:pt idx="22">
                  <c:v>2429.5800000000004</c:v>
                </c:pt>
                <c:pt idx="23">
                  <c:v>2094.5</c:v>
                </c:pt>
                <c:pt idx="24">
                  <c:v>2202.2700000000004</c:v>
                </c:pt>
                <c:pt idx="25">
                  <c:v>3118.33</c:v>
                </c:pt>
                <c:pt idx="26">
                  <c:v>822.6</c:v>
                </c:pt>
                <c:pt idx="27">
                  <c:v>1941.91</c:v>
                </c:pt>
                <c:pt idx="28">
                  <c:v>1328.8200000000002</c:v>
                </c:pt>
                <c:pt idx="29">
                  <c:v>2617.8700000000003</c:v>
                </c:pt>
                <c:pt idx="30">
                  <c:v>1940.9900000000002</c:v>
                </c:pt>
                <c:pt idx="31">
                  <c:v>1422.2399999999998</c:v>
                </c:pt>
                <c:pt idx="32">
                  <c:v>1240.0600000000002</c:v>
                </c:pt>
                <c:pt idx="33">
                  <c:v>1387.02</c:v>
                </c:pt>
              </c:numCache>
            </c:numRef>
          </c:val>
          <c:smooth val="0"/>
          <c:extLst>
            <c:ext xmlns:c16="http://schemas.microsoft.com/office/drawing/2014/chart" uri="{C3380CC4-5D6E-409C-BE32-E72D297353CC}">
              <c16:uniqueId val="{00000000-934B-440A-88F4-8DE08E14A770}"/>
            </c:ext>
          </c:extLst>
        </c:ser>
        <c:dLbls>
          <c:dLblPos val="t"/>
          <c:showLegendKey val="0"/>
          <c:showVal val="1"/>
          <c:showCatName val="0"/>
          <c:showSerName val="0"/>
          <c:showPercent val="0"/>
          <c:showBubbleSize val="0"/>
        </c:dLbls>
        <c:dropLines>
          <c:spPr>
            <a:ln w="9525" cap="flat" cmpd="sng" algn="ctr">
              <a:solidFill>
                <a:schemeClr val="tx1">
                  <a:lumMod val="65000"/>
                  <a:lumOff val="35000"/>
                </a:schemeClr>
              </a:solidFill>
              <a:round/>
            </a:ln>
            <a:effectLst>
              <a:softEdge rad="0"/>
            </a:effectLst>
          </c:spPr>
        </c:dropLines>
        <c:marker val="1"/>
        <c:smooth val="0"/>
        <c:axId val="1842869023"/>
        <c:axId val="1842868543"/>
      </c:lineChart>
      <c:catAx>
        <c:axId val="18428690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42868543"/>
        <c:crosses val="autoZero"/>
        <c:auto val="1"/>
        <c:lblAlgn val="ctr"/>
        <c:lblOffset val="100"/>
        <c:noMultiLvlLbl val="0"/>
      </c:catAx>
      <c:valAx>
        <c:axId val="184286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28690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TRENDS ^0 ANALYSIS.xlsx]PivotTable!PivotTable2</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and Worst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PivotTable!$F$4:$F$38</c:f>
              <c:strCache>
                <c:ptCount val="34"/>
                <c:pt idx="0">
                  <c:v>November 2023</c:v>
                </c:pt>
                <c:pt idx="1">
                  <c:v>March 2023</c:v>
                </c:pt>
                <c:pt idx="2">
                  <c:v>June 2024</c:v>
                </c:pt>
                <c:pt idx="3">
                  <c:v>August 2024</c:v>
                </c:pt>
                <c:pt idx="4">
                  <c:v>October 2023</c:v>
                </c:pt>
                <c:pt idx="5">
                  <c:v>September 2025</c:v>
                </c:pt>
                <c:pt idx="6">
                  <c:v>December 2023</c:v>
                </c:pt>
                <c:pt idx="7">
                  <c:v>August 2023</c:v>
                </c:pt>
                <c:pt idx="8">
                  <c:v>September 2024</c:v>
                </c:pt>
                <c:pt idx="9">
                  <c:v>May 2023</c:v>
                </c:pt>
                <c:pt idx="10">
                  <c:v>February 2023</c:v>
                </c:pt>
                <c:pt idx="11">
                  <c:v>July 2025</c:v>
                </c:pt>
                <c:pt idx="12">
                  <c:v>September 2023</c:v>
                </c:pt>
                <c:pt idx="13">
                  <c:v>April 2023</c:v>
                </c:pt>
                <c:pt idx="14">
                  <c:v>December 2024</c:v>
                </c:pt>
                <c:pt idx="15">
                  <c:v>July 2023</c:v>
                </c:pt>
                <c:pt idx="16">
                  <c:v>February 2025</c:v>
                </c:pt>
                <c:pt idx="17">
                  <c:v>March 2024</c:v>
                </c:pt>
                <c:pt idx="18">
                  <c:v>April 2024</c:v>
                </c:pt>
                <c:pt idx="19">
                  <c:v>January 2024</c:v>
                </c:pt>
                <c:pt idx="20">
                  <c:v>July 2024</c:v>
                </c:pt>
                <c:pt idx="21">
                  <c:v>June 2023</c:v>
                </c:pt>
                <c:pt idx="22">
                  <c:v>April 2025</c:v>
                </c:pt>
                <c:pt idx="23">
                  <c:v>January 2023</c:v>
                </c:pt>
                <c:pt idx="24">
                  <c:v>February 2024</c:v>
                </c:pt>
                <c:pt idx="25">
                  <c:v>June 2025</c:v>
                </c:pt>
                <c:pt idx="26">
                  <c:v>March 2025</c:v>
                </c:pt>
                <c:pt idx="27">
                  <c:v>October 2024</c:v>
                </c:pt>
                <c:pt idx="28">
                  <c:v>May 2024</c:v>
                </c:pt>
                <c:pt idx="29">
                  <c:v>November 2024</c:v>
                </c:pt>
                <c:pt idx="30">
                  <c:v>January 2025</c:v>
                </c:pt>
                <c:pt idx="31">
                  <c:v>October 2025</c:v>
                </c:pt>
                <c:pt idx="32">
                  <c:v>May 2025</c:v>
                </c:pt>
                <c:pt idx="33">
                  <c:v>August 2025</c:v>
                </c:pt>
              </c:strCache>
            </c:strRef>
          </c:cat>
          <c:val>
            <c:numRef>
              <c:f>PivotTable!$G$4:$G$38</c:f>
              <c:numCache>
                <c:formatCode>General</c:formatCode>
                <c:ptCount val="34"/>
                <c:pt idx="0">
                  <c:v>6974</c:v>
                </c:pt>
                <c:pt idx="1">
                  <c:v>9135</c:v>
                </c:pt>
                <c:pt idx="2">
                  <c:v>11058</c:v>
                </c:pt>
                <c:pt idx="3">
                  <c:v>11149</c:v>
                </c:pt>
                <c:pt idx="4">
                  <c:v>11845</c:v>
                </c:pt>
                <c:pt idx="5">
                  <c:v>13523</c:v>
                </c:pt>
                <c:pt idx="6">
                  <c:v>13927</c:v>
                </c:pt>
                <c:pt idx="7">
                  <c:v>14888</c:v>
                </c:pt>
                <c:pt idx="8">
                  <c:v>15013</c:v>
                </c:pt>
                <c:pt idx="9">
                  <c:v>15736</c:v>
                </c:pt>
                <c:pt idx="10">
                  <c:v>16888</c:v>
                </c:pt>
                <c:pt idx="11">
                  <c:v>17278</c:v>
                </c:pt>
                <c:pt idx="12">
                  <c:v>17348</c:v>
                </c:pt>
                <c:pt idx="13">
                  <c:v>17472</c:v>
                </c:pt>
                <c:pt idx="14">
                  <c:v>17518</c:v>
                </c:pt>
                <c:pt idx="15">
                  <c:v>17621</c:v>
                </c:pt>
                <c:pt idx="16">
                  <c:v>18095</c:v>
                </c:pt>
                <c:pt idx="17">
                  <c:v>18200</c:v>
                </c:pt>
                <c:pt idx="18">
                  <c:v>18442</c:v>
                </c:pt>
                <c:pt idx="19">
                  <c:v>18824</c:v>
                </c:pt>
                <c:pt idx="20">
                  <c:v>19021</c:v>
                </c:pt>
                <c:pt idx="21">
                  <c:v>19144</c:v>
                </c:pt>
                <c:pt idx="22">
                  <c:v>19284</c:v>
                </c:pt>
                <c:pt idx="23">
                  <c:v>19455</c:v>
                </c:pt>
                <c:pt idx="24">
                  <c:v>19589</c:v>
                </c:pt>
                <c:pt idx="25">
                  <c:v>19657</c:v>
                </c:pt>
                <c:pt idx="26">
                  <c:v>22097</c:v>
                </c:pt>
                <c:pt idx="27">
                  <c:v>23448</c:v>
                </c:pt>
                <c:pt idx="28">
                  <c:v>25237</c:v>
                </c:pt>
                <c:pt idx="29">
                  <c:v>25339</c:v>
                </c:pt>
                <c:pt idx="30">
                  <c:v>26605</c:v>
                </c:pt>
                <c:pt idx="31">
                  <c:v>27822</c:v>
                </c:pt>
                <c:pt idx="32">
                  <c:v>28248</c:v>
                </c:pt>
                <c:pt idx="33">
                  <c:v>28870</c:v>
                </c:pt>
              </c:numCache>
            </c:numRef>
          </c:val>
          <c:extLst>
            <c:ext xmlns:c16="http://schemas.microsoft.com/office/drawing/2014/chart" uri="{C3380CC4-5D6E-409C-BE32-E72D297353CC}">
              <c16:uniqueId val="{00000000-3F2A-426E-9E9A-0B10F284C35F}"/>
            </c:ext>
          </c:extLst>
        </c:ser>
        <c:dLbls>
          <c:dLblPos val="outEnd"/>
          <c:showLegendKey val="0"/>
          <c:showVal val="1"/>
          <c:showCatName val="0"/>
          <c:showSerName val="0"/>
          <c:showPercent val="0"/>
          <c:showBubbleSize val="0"/>
        </c:dLbls>
        <c:gapWidth val="65"/>
        <c:axId val="1874161935"/>
        <c:axId val="1874164335"/>
      </c:barChart>
      <c:catAx>
        <c:axId val="18741619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4164335"/>
        <c:crosses val="autoZero"/>
        <c:auto val="1"/>
        <c:lblAlgn val="ctr"/>
        <c:lblOffset val="100"/>
        <c:noMultiLvlLbl val="0"/>
      </c:catAx>
      <c:valAx>
        <c:axId val="187416433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7416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TRENDS ^0 ANALYSIS.xlsx]PivotTable!PivotTable4</c:name>
    <c:fmtId val="4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i="1">
                <a:solidFill>
                  <a:srgbClr val="FF0000"/>
                </a:solidFill>
                <a:latin typeface="Arial" panose="020B0604020202020204" pitchFamily="34" charset="0"/>
                <a:cs typeface="Arial" panose="020B0604020202020204" pitchFamily="34" charset="0"/>
              </a:rPr>
              <a:t>Region Wise  Sales</a:t>
            </a:r>
          </a:p>
        </c:rich>
      </c:tx>
      <c:layout>
        <c:manualLayout>
          <c:xMode val="edge"/>
          <c:yMode val="edge"/>
          <c:x val="0.45554357867724188"/>
          <c:y val="4.454756597536418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p3d/>
        </c:spPr>
        <c:dLbl>
          <c:idx val="0"/>
          <c:layout>
            <c:manualLayout>
              <c:x val="-3.5897307748397433E-3"/>
              <c:y val="-6.20198793630296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dLbl>
          <c:idx val="0"/>
          <c:layout>
            <c:manualLayout>
              <c:x val="1.7361110161794011E-2"/>
              <c:y val="-6.79891023499118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sp3d/>
        </c:spPr>
        <c:dLbl>
          <c:idx val="0"/>
          <c:layout>
            <c:manualLayout>
              <c:x val="-1.388888812943525E-3"/>
              <c:y val="-5.002971682352009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8055554568265825E-2"/>
              <c:y val="-5.13125300754051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21367116421449E-3"/>
          <c:y val="0.10901779340082177"/>
          <c:w val="0.98495726576715714"/>
          <c:h val="0.86227591877649701"/>
        </c:manualLayout>
      </c:layout>
      <c:bar3DChart>
        <c:barDir val="col"/>
        <c:grouping val="standard"/>
        <c:varyColors val="0"/>
        <c:ser>
          <c:idx val="0"/>
          <c:order val="0"/>
          <c:tx>
            <c:strRef>
              <c:f>PivotTable!$K$3</c:f>
              <c:strCache>
                <c:ptCount val="1"/>
                <c:pt idx="0">
                  <c:v>Total</c:v>
                </c:pt>
              </c:strCache>
            </c:strRef>
          </c:tx>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6D0E-4FFE-BA31-D6A281DF666A}"/>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2-6D0E-4FFE-BA31-D6A281DF666A}"/>
              </c:ext>
            </c:extLst>
          </c:dPt>
          <c:dPt>
            <c:idx val="2"/>
            <c:invertIfNegative val="0"/>
            <c:bubble3D val="0"/>
            <c:spPr>
              <a:solidFill>
                <a:srgbClr val="00B0F0"/>
              </a:solidFill>
              <a:ln>
                <a:noFill/>
              </a:ln>
              <a:effectLst/>
              <a:sp3d/>
            </c:spPr>
            <c:extLst>
              <c:ext xmlns:c16="http://schemas.microsoft.com/office/drawing/2014/chart" uri="{C3380CC4-5D6E-409C-BE32-E72D297353CC}">
                <c16:uniqueId val="{00000003-6D0E-4FFE-BA31-D6A281DF666A}"/>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4-6D0E-4FFE-BA31-D6A281DF666A}"/>
              </c:ext>
            </c:extLst>
          </c:dPt>
          <c:dLbls>
            <c:dLbl>
              <c:idx val="0"/>
              <c:layout>
                <c:manualLayout>
                  <c:x val="-3.5897307748397433E-3"/>
                  <c:y val="-6.2019879363029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0E-4FFE-BA31-D6A281DF666A}"/>
                </c:ext>
              </c:extLst>
            </c:dLbl>
            <c:dLbl>
              <c:idx val="1"/>
              <c:layout>
                <c:manualLayout>
                  <c:x val="1.7361110161794011E-2"/>
                  <c:y val="-6.7989102349911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0E-4FFE-BA31-D6A281DF666A}"/>
                </c:ext>
              </c:extLst>
            </c:dLbl>
            <c:dLbl>
              <c:idx val="2"/>
              <c:layout>
                <c:manualLayout>
                  <c:x val="-1.388888812943525E-3"/>
                  <c:y val="-5.00297168235200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0E-4FFE-BA31-D6A281DF666A}"/>
                </c:ext>
              </c:extLst>
            </c:dLbl>
            <c:dLbl>
              <c:idx val="3"/>
              <c:layout>
                <c:manualLayout>
                  <c:x val="-1.8055554568265825E-2"/>
                  <c:y val="-5.1312530075405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0E-4FFE-BA31-D6A281DF666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PivotTable!$J$4:$J$8</c:f>
              <c:strCache>
                <c:ptCount val="4"/>
                <c:pt idx="0">
                  <c:v>East</c:v>
                </c:pt>
                <c:pt idx="1">
                  <c:v>North</c:v>
                </c:pt>
                <c:pt idx="2">
                  <c:v>South</c:v>
                </c:pt>
                <c:pt idx="3">
                  <c:v>West</c:v>
                </c:pt>
              </c:strCache>
            </c:strRef>
          </c:cat>
          <c:val>
            <c:numRef>
              <c:f>PivotTable!$K$4:$K$8</c:f>
              <c:numCache>
                <c:formatCode>General</c:formatCode>
                <c:ptCount val="4"/>
                <c:pt idx="0">
                  <c:v>842.16</c:v>
                </c:pt>
                <c:pt idx="1">
                  <c:v>424.64</c:v>
                </c:pt>
                <c:pt idx="2">
                  <c:v>334.54</c:v>
                </c:pt>
                <c:pt idx="3">
                  <c:v>340.57</c:v>
                </c:pt>
              </c:numCache>
            </c:numRef>
          </c:val>
          <c:extLst>
            <c:ext xmlns:c16="http://schemas.microsoft.com/office/drawing/2014/chart" uri="{C3380CC4-5D6E-409C-BE32-E72D297353CC}">
              <c16:uniqueId val="{00000000-6D0E-4FFE-BA31-D6A281DF666A}"/>
            </c:ext>
          </c:extLst>
        </c:ser>
        <c:dLbls>
          <c:showLegendKey val="0"/>
          <c:showVal val="1"/>
          <c:showCatName val="0"/>
          <c:showSerName val="0"/>
          <c:showPercent val="0"/>
          <c:showBubbleSize val="0"/>
        </c:dLbls>
        <c:gapWidth val="150"/>
        <c:shape val="box"/>
        <c:axId val="152536175"/>
        <c:axId val="114658351"/>
        <c:axId val="111837343"/>
      </c:bar3DChart>
      <c:catAx>
        <c:axId val="15253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14658351"/>
        <c:crosses val="autoZero"/>
        <c:auto val="1"/>
        <c:lblAlgn val="ctr"/>
        <c:lblOffset val="100"/>
        <c:noMultiLvlLbl val="0"/>
      </c:catAx>
      <c:valAx>
        <c:axId val="114658351"/>
        <c:scaling>
          <c:orientation val="minMax"/>
        </c:scaling>
        <c:delete val="1"/>
        <c:axPos val="l"/>
        <c:numFmt formatCode="General" sourceLinked="1"/>
        <c:majorTickMark val="none"/>
        <c:minorTickMark val="none"/>
        <c:tickLblPos val="nextTo"/>
        <c:crossAx val="152536175"/>
        <c:crosses val="autoZero"/>
        <c:crossBetween val="between"/>
      </c:valAx>
      <c:serAx>
        <c:axId val="111837343"/>
        <c:scaling>
          <c:orientation val="minMax"/>
        </c:scaling>
        <c:delete val="1"/>
        <c:axPos val="b"/>
        <c:majorTickMark val="none"/>
        <c:minorTickMark val="none"/>
        <c:tickLblPos val="nextTo"/>
        <c:crossAx val="1146583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10636</xdr:colOff>
      <xdr:row>0</xdr:row>
      <xdr:rowOff>19844</xdr:rowOff>
    </xdr:from>
    <xdr:to>
      <xdr:col>18</xdr:col>
      <xdr:colOff>3016</xdr:colOff>
      <xdr:row>502</xdr:row>
      <xdr:rowOff>12224</xdr:rowOff>
    </xdr:to>
    <xdr:sp macro="" textlink="">
      <xdr:nvSpPr>
        <xdr:cNvPr id="2" name="L-Shape 1">
          <a:extLst>
            <a:ext uri="{FF2B5EF4-FFF2-40B4-BE49-F238E27FC236}">
              <a16:creationId xmlns:a16="http://schemas.microsoft.com/office/drawing/2014/main" id="{E86F981B-96B0-8391-0F91-ED6D2A431C18}"/>
            </a:ext>
          </a:extLst>
        </xdr:cNvPr>
        <xdr:cNvSpPr/>
      </xdr:nvSpPr>
      <xdr:spPr>
        <a:xfrm rot="16200000" flipH="1">
          <a:off x="-42685813" y="43576090"/>
          <a:ext cx="101053139" cy="13940647"/>
        </a:xfrm>
        <a:prstGeom prst="corner">
          <a:avLst>
            <a:gd name="adj1" fmla="val 30582"/>
            <a:gd name="adj2" fmla="val 3994"/>
          </a:avLst>
        </a:prstGeom>
        <a:gradFill>
          <a:gsLst>
            <a:gs pos="66000">
              <a:srgbClr val="F3F890"/>
            </a:gs>
            <a:gs pos="100000">
              <a:schemeClr val="accent4">
                <a:lumMod val="60000"/>
                <a:lumOff val="4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21773</xdr:colOff>
      <xdr:row>0</xdr:row>
      <xdr:rowOff>567939</xdr:rowOff>
    </xdr:from>
    <xdr:to>
      <xdr:col>11</xdr:col>
      <xdr:colOff>20375</xdr:colOff>
      <xdr:row>2</xdr:row>
      <xdr:rowOff>9256</xdr:rowOff>
    </xdr:to>
    <xdr:sp macro="" textlink="">
      <xdr:nvSpPr>
        <xdr:cNvPr id="3" name="Rectangle: Top Corners Rounded 2">
          <a:extLst>
            <a:ext uri="{FF2B5EF4-FFF2-40B4-BE49-F238E27FC236}">
              <a16:creationId xmlns:a16="http://schemas.microsoft.com/office/drawing/2014/main" id="{ED944890-54D5-1AB1-DEA1-836EC6219AE0}"/>
            </a:ext>
          </a:extLst>
        </xdr:cNvPr>
        <xdr:cNvSpPr/>
      </xdr:nvSpPr>
      <xdr:spPr>
        <a:xfrm>
          <a:off x="881570" y="567939"/>
          <a:ext cx="9668260" cy="667852"/>
        </a:xfrm>
        <a:prstGeom prst="round2SameRect">
          <a:avLst/>
        </a:prstGeom>
        <a:noFill/>
        <a:ln w="57150">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41413</xdr:colOff>
      <xdr:row>2</xdr:row>
      <xdr:rowOff>162785</xdr:rowOff>
    </xdr:from>
    <xdr:to>
      <xdr:col>13</xdr:col>
      <xdr:colOff>346213</xdr:colOff>
      <xdr:row>33</xdr:row>
      <xdr:rowOff>165189</xdr:rowOff>
    </xdr:to>
    <xdr:graphicFrame macro="">
      <xdr:nvGraphicFramePr>
        <xdr:cNvPr id="2" name="Chart 1">
          <a:extLst>
            <a:ext uri="{FF2B5EF4-FFF2-40B4-BE49-F238E27FC236}">
              <a16:creationId xmlns:a16="http://schemas.microsoft.com/office/drawing/2014/main" id="{ABD020AA-FBCB-43A8-BE84-55EF04AFB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333375</xdr:colOff>
      <xdr:row>3</xdr:row>
      <xdr:rowOff>63500</xdr:rowOff>
    </xdr:from>
    <xdr:to>
      <xdr:col>41</xdr:col>
      <xdr:colOff>63500</xdr:colOff>
      <xdr:row>33</xdr:row>
      <xdr:rowOff>179456</xdr:rowOff>
    </xdr:to>
    <xdr:graphicFrame macro="">
      <xdr:nvGraphicFramePr>
        <xdr:cNvPr id="3" name="Chart 2">
          <a:extLst>
            <a:ext uri="{FF2B5EF4-FFF2-40B4-BE49-F238E27FC236}">
              <a16:creationId xmlns:a16="http://schemas.microsoft.com/office/drawing/2014/main" id="{0673BC0E-3DDA-4C1D-993F-D5348EABC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81644</xdr:colOff>
      <xdr:row>4</xdr:row>
      <xdr:rowOff>146776</xdr:rowOff>
    </xdr:from>
    <xdr:to>
      <xdr:col>21</xdr:col>
      <xdr:colOff>456747</xdr:colOff>
      <xdr:row>15</xdr:row>
      <xdr:rowOff>4493</xdr:rowOff>
    </xdr:to>
    <xdr:sp macro="" textlink="">
      <xdr:nvSpPr>
        <xdr:cNvPr id="4" name="Rectangle 3">
          <a:extLst>
            <a:ext uri="{FF2B5EF4-FFF2-40B4-BE49-F238E27FC236}">
              <a16:creationId xmlns:a16="http://schemas.microsoft.com/office/drawing/2014/main" id="{D0F7EBF8-63D0-5171-D053-1CA0692B427D}"/>
            </a:ext>
          </a:extLst>
        </xdr:cNvPr>
        <xdr:cNvSpPr/>
      </xdr:nvSpPr>
      <xdr:spPr>
        <a:xfrm>
          <a:off x="9139380" y="894399"/>
          <a:ext cx="3998197" cy="1913679"/>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i="1">
              <a:solidFill>
                <a:srgbClr val="FF0000"/>
              </a:solidFill>
              <a:latin typeface="Aptos" panose="020B0004020202020204" pitchFamily="34" charset="0"/>
            </a:rPr>
            <a:t>Best &amp; Worst Month</a:t>
          </a:r>
        </a:p>
      </xdr:txBody>
    </xdr:sp>
    <xdr:clientData/>
  </xdr:twoCellAnchor>
  <xdr:twoCellAnchor>
    <xdr:from>
      <xdr:col>15</xdr:col>
      <xdr:colOff>229053</xdr:colOff>
      <xdr:row>7</xdr:row>
      <xdr:rowOff>111125</xdr:rowOff>
    </xdr:from>
    <xdr:to>
      <xdr:col>17</xdr:col>
      <xdr:colOff>496661</xdr:colOff>
      <xdr:row>9</xdr:row>
      <xdr:rowOff>6803</xdr:rowOff>
    </xdr:to>
    <xdr:sp macro="" textlink="">
      <xdr:nvSpPr>
        <xdr:cNvPr id="5" name="TextBox 4">
          <a:extLst>
            <a:ext uri="{FF2B5EF4-FFF2-40B4-BE49-F238E27FC236}">
              <a16:creationId xmlns:a16="http://schemas.microsoft.com/office/drawing/2014/main" id="{2746F1EB-EB65-F93F-6862-48DE69ACBA8F}"/>
            </a:ext>
          </a:extLst>
        </xdr:cNvPr>
        <xdr:cNvSpPr txBox="1"/>
      </xdr:nvSpPr>
      <xdr:spPr>
        <a:xfrm>
          <a:off x="9413874" y="1397000"/>
          <a:ext cx="1492251"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panose="020B0604020202020204" pitchFamily="34" charset="0"/>
              <a:cs typeface="Arial" panose="020B0604020202020204" pitchFamily="34" charset="0"/>
            </a:rPr>
            <a:t>BEST  </a:t>
          </a:r>
          <a:r>
            <a:rPr lang="en-IN" sz="1100">
              <a:latin typeface="Arial" panose="020B0604020202020204" pitchFamily="34" charset="0"/>
              <a:cs typeface="Arial" panose="020B0604020202020204" pitchFamily="34" charset="0"/>
            </a:rPr>
            <a:t> </a:t>
          </a:r>
          <a:r>
            <a:rPr lang="en-IN" sz="1400">
              <a:latin typeface="Arial" panose="020B0604020202020204" pitchFamily="34" charset="0"/>
              <a:cs typeface="Arial" panose="020B0604020202020204" pitchFamily="34" charset="0"/>
            </a:rPr>
            <a:t>MONTH</a:t>
          </a:r>
          <a:r>
            <a:rPr lang="en-IN" sz="1100">
              <a:latin typeface="Arial" panose="020B0604020202020204" pitchFamily="34" charset="0"/>
              <a:cs typeface="Arial" panose="020B0604020202020204" pitchFamily="34" charset="0"/>
            </a:rPr>
            <a:t>  </a:t>
          </a:r>
        </a:p>
      </xdr:txBody>
    </xdr:sp>
    <xdr:clientData/>
  </xdr:twoCellAnchor>
  <xdr:twoCellAnchor editAs="oneCell">
    <xdr:from>
      <xdr:col>17</xdr:col>
      <xdr:colOff>570139</xdr:colOff>
      <xdr:row>7</xdr:row>
      <xdr:rowOff>142748</xdr:rowOff>
    </xdr:from>
    <xdr:to>
      <xdr:col>18</xdr:col>
      <xdr:colOff>219074</xdr:colOff>
      <xdr:row>9</xdr:row>
      <xdr:rowOff>33460</xdr:rowOff>
    </xdr:to>
    <xdr:pic>
      <xdr:nvPicPr>
        <xdr:cNvPr id="7" name="Graphic 6" descr="Arrow: Straight with solid fill">
          <a:extLst>
            <a:ext uri="{FF2B5EF4-FFF2-40B4-BE49-F238E27FC236}">
              <a16:creationId xmlns:a16="http://schemas.microsoft.com/office/drawing/2014/main" id="{177BB97F-26C4-AD59-6DEA-389C73A72E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10979603" y="1428623"/>
          <a:ext cx="261257" cy="258105"/>
        </a:xfrm>
        <a:prstGeom prst="rect">
          <a:avLst/>
        </a:prstGeom>
      </xdr:spPr>
    </xdr:pic>
    <xdr:clientData/>
  </xdr:twoCellAnchor>
  <xdr:twoCellAnchor>
    <xdr:from>
      <xdr:col>18</xdr:col>
      <xdr:colOff>246290</xdr:colOff>
      <xdr:row>7</xdr:row>
      <xdr:rowOff>122464</xdr:rowOff>
    </xdr:from>
    <xdr:to>
      <xdr:col>19</xdr:col>
      <xdr:colOff>289833</xdr:colOff>
      <xdr:row>9</xdr:row>
      <xdr:rowOff>35377</xdr:rowOff>
    </xdr:to>
    <xdr:sp macro="" textlink="">
      <xdr:nvSpPr>
        <xdr:cNvPr id="8" name="TextBox 7">
          <a:extLst>
            <a:ext uri="{FF2B5EF4-FFF2-40B4-BE49-F238E27FC236}">
              <a16:creationId xmlns:a16="http://schemas.microsoft.com/office/drawing/2014/main" id="{A1F7B373-A9C9-F81B-A1A8-E258694E767F}"/>
            </a:ext>
          </a:extLst>
        </xdr:cNvPr>
        <xdr:cNvSpPr txBox="1"/>
      </xdr:nvSpPr>
      <xdr:spPr>
        <a:xfrm>
          <a:off x="11268076" y="1408339"/>
          <a:ext cx="655864" cy="280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rgbClr val="002060"/>
              </a:solidFill>
              <a:effectLst/>
              <a:latin typeface="Arial" panose="020B0604020202020204" pitchFamily="34" charset="0"/>
              <a:ea typeface="+mn-ea"/>
              <a:cs typeface="Arial" panose="020B0604020202020204" pitchFamily="34" charset="0"/>
            </a:rPr>
            <a:t>6974</a:t>
          </a:r>
          <a:r>
            <a:rPr lang="en-IN" sz="1400">
              <a:solidFill>
                <a:srgbClr val="002060"/>
              </a:solidFill>
              <a:effectLst/>
              <a:latin typeface="Arial" panose="020B0604020202020204" pitchFamily="34" charset="0"/>
              <a:cs typeface="Arial" panose="020B0604020202020204" pitchFamily="34" charset="0"/>
            </a:rPr>
            <a:t> </a:t>
          </a:r>
          <a:endParaRPr lang="en-IN" sz="1400">
            <a:solidFill>
              <a:srgbClr val="002060"/>
            </a:solidFill>
            <a:latin typeface="Arial" panose="020B0604020202020204" pitchFamily="34" charset="0"/>
            <a:cs typeface="Arial" panose="020B0604020202020204" pitchFamily="34" charset="0"/>
          </a:endParaRPr>
        </a:p>
      </xdr:txBody>
    </xdr:sp>
    <xdr:clientData/>
  </xdr:twoCellAnchor>
  <xdr:twoCellAnchor>
    <xdr:from>
      <xdr:col>19</xdr:col>
      <xdr:colOff>240612</xdr:colOff>
      <xdr:row>7</xdr:row>
      <xdr:rowOff>124107</xdr:rowOff>
    </xdr:from>
    <xdr:to>
      <xdr:col>21</xdr:col>
      <xdr:colOff>285750</xdr:colOff>
      <xdr:row>9</xdr:row>
      <xdr:rowOff>37020</xdr:rowOff>
    </xdr:to>
    <xdr:sp macro="" textlink="PivotTable!F4">
      <xdr:nvSpPr>
        <xdr:cNvPr id="9" name="TextBox 8">
          <a:extLst>
            <a:ext uri="{FF2B5EF4-FFF2-40B4-BE49-F238E27FC236}">
              <a16:creationId xmlns:a16="http://schemas.microsoft.com/office/drawing/2014/main" id="{BC462277-4C81-455D-963B-44A9DA0F5EA8}"/>
            </a:ext>
          </a:extLst>
        </xdr:cNvPr>
        <xdr:cNvSpPr txBox="1"/>
      </xdr:nvSpPr>
      <xdr:spPr>
        <a:xfrm>
          <a:off x="11874719" y="1409982"/>
          <a:ext cx="1269781" cy="280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918623-8AF2-4DF8-8540-0D51F5E75915}" type="TxLink">
            <a:rPr lang="en-US" sz="1100" b="0" i="0" u="none" strike="noStrike">
              <a:solidFill>
                <a:srgbClr val="000000"/>
              </a:solidFill>
              <a:latin typeface="Arial"/>
              <a:cs typeface="Arial"/>
            </a:rPr>
            <a:pPr/>
            <a:t>November 2023</a:t>
          </a:fld>
          <a:endParaRPr lang="en-IN" sz="1400">
            <a:solidFill>
              <a:srgbClr val="002060"/>
            </a:solidFill>
            <a:latin typeface="Arial" panose="020B0604020202020204" pitchFamily="34" charset="0"/>
            <a:cs typeface="Arial" panose="020B0604020202020204" pitchFamily="34" charset="0"/>
          </a:endParaRPr>
        </a:p>
      </xdr:txBody>
    </xdr:sp>
    <xdr:clientData/>
  </xdr:twoCellAnchor>
  <xdr:twoCellAnchor>
    <xdr:from>
      <xdr:col>18</xdr:col>
      <xdr:colOff>571500</xdr:colOff>
      <xdr:row>10</xdr:row>
      <xdr:rowOff>173093</xdr:rowOff>
    </xdr:from>
    <xdr:to>
      <xdr:col>21</xdr:col>
      <xdr:colOff>381000</xdr:colOff>
      <xdr:row>12</xdr:row>
      <xdr:rowOff>86006</xdr:rowOff>
    </xdr:to>
    <xdr:sp macro="" textlink="">
      <xdr:nvSpPr>
        <xdr:cNvPr id="10" name="TextBox 9">
          <a:extLst>
            <a:ext uri="{FF2B5EF4-FFF2-40B4-BE49-F238E27FC236}">
              <a16:creationId xmlns:a16="http://schemas.microsoft.com/office/drawing/2014/main" id="{397F2139-591F-409A-B910-F59371687792}"/>
            </a:ext>
          </a:extLst>
        </xdr:cNvPr>
        <xdr:cNvSpPr txBox="1"/>
      </xdr:nvSpPr>
      <xdr:spPr>
        <a:xfrm>
          <a:off x="11593286" y="2010057"/>
          <a:ext cx="1646464" cy="280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tx1"/>
              </a:solidFill>
              <a:effectLst/>
              <a:latin typeface="Arial" panose="020B0604020202020204" pitchFamily="34" charset="0"/>
              <a:ea typeface="+mn-ea"/>
              <a:cs typeface="Arial" panose="020B0604020202020204" pitchFamily="34" charset="0"/>
            </a:rPr>
            <a:t>WORST</a:t>
          </a:r>
          <a:r>
            <a:rPr lang="en-IN" sz="1400" b="0" i="0" u="none" strike="noStrike" baseline="0">
              <a:solidFill>
                <a:schemeClr val="tx1"/>
              </a:solidFill>
              <a:effectLst/>
              <a:latin typeface="Arial" panose="020B0604020202020204" pitchFamily="34" charset="0"/>
              <a:ea typeface="+mn-ea"/>
              <a:cs typeface="Arial" panose="020B0604020202020204" pitchFamily="34" charset="0"/>
            </a:rPr>
            <a:t> MONTH</a:t>
          </a:r>
          <a:r>
            <a:rPr lang="en-IN" sz="1400">
              <a:solidFill>
                <a:schemeClr val="tx1"/>
              </a:solidFill>
              <a:effectLst/>
              <a:latin typeface="Arial" panose="020B0604020202020204" pitchFamily="34" charset="0"/>
              <a:cs typeface="Arial" panose="020B0604020202020204" pitchFamily="34" charset="0"/>
            </a:rPr>
            <a:t> </a:t>
          </a:r>
          <a:endParaRPr lang="en-IN" sz="1400">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18</xdr:col>
      <xdr:colOff>224518</xdr:colOff>
      <xdr:row>11</xdr:row>
      <xdr:rowOff>9806</xdr:rowOff>
    </xdr:from>
    <xdr:to>
      <xdr:col>18</xdr:col>
      <xdr:colOff>483053</xdr:colOff>
      <xdr:row>12</xdr:row>
      <xdr:rowOff>84215</xdr:rowOff>
    </xdr:to>
    <xdr:pic>
      <xdr:nvPicPr>
        <xdr:cNvPr id="11" name="Graphic 10" descr="Arrow: Straight with solid fill">
          <a:extLst>
            <a:ext uri="{FF2B5EF4-FFF2-40B4-BE49-F238E27FC236}">
              <a16:creationId xmlns:a16="http://schemas.microsoft.com/office/drawing/2014/main" id="{E20557F8-31B9-42C4-8C52-CB59421822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flipH="1">
          <a:off x="11246304" y="2030467"/>
          <a:ext cx="258535" cy="258105"/>
        </a:xfrm>
        <a:prstGeom prst="rect">
          <a:avLst/>
        </a:prstGeom>
      </xdr:spPr>
    </xdr:pic>
    <xdr:clientData/>
  </xdr:twoCellAnchor>
  <xdr:twoCellAnchor>
    <xdr:from>
      <xdr:col>15</xdr:col>
      <xdr:colOff>116433</xdr:colOff>
      <xdr:row>11</xdr:row>
      <xdr:rowOff>8139</xdr:rowOff>
    </xdr:from>
    <xdr:to>
      <xdr:col>17</xdr:col>
      <xdr:colOff>143774</xdr:colOff>
      <xdr:row>12</xdr:row>
      <xdr:rowOff>86264</xdr:rowOff>
    </xdr:to>
    <xdr:sp macro="" textlink="PivotTable!F37">
      <xdr:nvSpPr>
        <xdr:cNvPr id="13" name="TextBox 12">
          <a:extLst>
            <a:ext uri="{FF2B5EF4-FFF2-40B4-BE49-F238E27FC236}">
              <a16:creationId xmlns:a16="http://schemas.microsoft.com/office/drawing/2014/main" id="{A1E15126-FD1A-4B46-AD8D-7FA88A2A7630}"/>
            </a:ext>
          </a:extLst>
        </xdr:cNvPr>
        <xdr:cNvSpPr txBox="1"/>
      </xdr:nvSpPr>
      <xdr:spPr>
        <a:xfrm>
          <a:off x="9174169" y="2064101"/>
          <a:ext cx="1235039" cy="26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D0F733-C036-48F2-847E-F9F15B50EAB1}" type="TxLink">
            <a:rPr lang="en-US" sz="1400" b="0" i="0" u="none" strike="noStrike">
              <a:solidFill>
                <a:srgbClr val="000000"/>
              </a:solidFill>
              <a:effectLst/>
              <a:latin typeface="Arial"/>
              <a:ea typeface="Calibri"/>
              <a:cs typeface="Arial"/>
            </a:rPr>
            <a:pPr/>
            <a:t>August 2025</a:t>
          </a:fld>
          <a:endParaRPr lang="en-IN" sz="1800">
            <a:solidFill>
              <a:srgbClr val="002060"/>
            </a:solidFill>
            <a:latin typeface="Arial" panose="020B0604020202020204" pitchFamily="34" charset="0"/>
            <a:cs typeface="Arial" panose="020B0604020202020204" pitchFamily="34" charset="0"/>
          </a:endParaRPr>
        </a:p>
      </xdr:txBody>
    </xdr:sp>
    <xdr:clientData/>
  </xdr:twoCellAnchor>
  <xdr:twoCellAnchor>
    <xdr:from>
      <xdr:col>17</xdr:col>
      <xdr:colOff>64956</xdr:colOff>
      <xdr:row>11</xdr:row>
      <xdr:rowOff>1334</xdr:rowOff>
    </xdr:from>
    <xdr:to>
      <xdr:col>18</xdr:col>
      <xdr:colOff>301925</xdr:colOff>
      <xdr:row>13</xdr:row>
      <xdr:rowOff>14377</xdr:rowOff>
    </xdr:to>
    <xdr:sp macro="" textlink="PivotTable!G37">
      <xdr:nvSpPr>
        <xdr:cNvPr id="15" name="TextBox 14">
          <a:extLst>
            <a:ext uri="{FF2B5EF4-FFF2-40B4-BE49-F238E27FC236}">
              <a16:creationId xmlns:a16="http://schemas.microsoft.com/office/drawing/2014/main" id="{9D1E0213-8C83-4FD2-9DA4-4CD9B1C496EA}"/>
            </a:ext>
          </a:extLst>
        </xdr:cNvPr>
        <xdr:cNvSpPr txBox="1"/>
      </xdr:nvSpPr>
      <xdr:spPr>
        <a:xfrm>
          <a:off x="10330390" y="2057296"/>
          <a:ext cx="840818" cy="386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35FB9C-9DD6-4711-B90F-C8FA8E1AF8B2}" type="TxLink">
            <a:rPr lang="en-US" sz="1600" b="0" i="0" u="none" strike="noStrike">
              <a:solidFill>
                <a:schemeClr val="accent1">
                  <a:lumMod val="50000"/>
                </a:schemeClr>
              </a:solidFill>
              <a:latin typeface="Arial"/>
              <a:cs typeface="Arial"/>
            </a:rPr>
            <a:pPr/>
            <a:t>28870</a:t>
          </a:fld>
          <a:endParaRPr lang="en-IN" sz="2800">
            <a:solidFill>
              <a:schemeClr val="accent1">
                <a:lumMod val="50000"/>
              </a:schemeClr>
            </a:solidFill>
            <a:latin typeface="Arial" panose="020B0604020202020204" pitchFamily="34" charset="0"/>
            <a:cs typeface="Arial" panose="020B0604020202020204" pitchFamily="34" charset="0"/>
          </a:endParaRPr>
        </a:p>
      </xdr:txBody>
    </xdr:sp>
    <xdr:clientData/>
  </xdr:twoCellAnchor>
  <xdr:twoCellAnchor>
    <xdr:from>
      <xdr:col>12</xdr:col>
      <xdr:colOff>-1</xdr:colOff>
      <xdr:row>42</xdr:row>
      <xdr:rowOff>23813</xdr:rowOff>
    </xdr:from>
    <xdr:to>
      <xdr:col>42</xdr:col>
      <xdr:colOff>0</xdr:colOff>
      <xdr:row>96</xdr:row>
      <xdr:rowOff>0</xdr:rowOff>
    </xdr:to>
    <xdr:graphicFrame macro="">
      <xdr:nvGraphicFramePr>
        <xdr:cNvPr id="16" name="Chart 15">
          <a:extLst>
            <a:ext uri="{FF2B5EF4-FFF2-40B4-BE49-F238E27FC236}">
              <a16:creationId xmlns:a16="http://schemas.microsoft.com/office/drawing/2014/main" id="{43A0CE39-3CD9-4E35-B7FF-9FCD84E7D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347763</xdr:colOff>
      <xdr:row>43</xdr:row>
      <xdr:rowOff>133269</xdr:rowOff>
    </xdr:from>
    <xdr:to>
      <xdr:col>9</xdr:col>
      <xdr:colOff>535021</xdr:colOff>
      <xdr:row>67</xdr:row>
      <xdr:rowOff>81063</xdr:rowOff>
    </xdr:to>
    <mc:AlternateContent xmlns:mc="http://schemas.openxmlformats.org/markup-compatibility/2006" xmlns:a14="http://schemas.microsoft.com/office/drawing/2010/main">
      <mc:Choice Requires="a14">
        <xdr:graphicFrame macro="">
          <xdr:nvGraphicFramePr>
            <xdr:cNvPr id="17" name="YearMonth">
              <a:extLst>
                <a:ext uri="{FF2B5EF4-FFF2-40B4-BE49-F238E27FC236}">
                  <a16:creationId xmlns:a16="http://schemas.microsoft.com/office/drawing/2014/main" id="{1B689B75-BB24-31E4-984D-AB6590E2A3CB}"/>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1583439" y="8103377"/>
              <a:ext cx="4512123" cy="4396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refreshedDate="45985.795060069446" createdVersion="8" refreshedVersion="8" minRefreshableVersion="3" recordCount="500" xr:uid="{D77C3D00-F106-4A71-AB96-565E0E2FDC7C}">
  <cacheSource type="worksheet">
    <worksheetSource ref="B2:K502" sheet="Database"/>
  </cacheSource>
  <cacheFields count="10">
    <cacheField name="OrderID" numFmtId="0">
      <sharedItems containsSemiMixedTypes="0" containsString="0" containsNumber="1" containsInteger="1" minValue="1000" maxValue="1499"/>
    </cacheField>
    <cacheField name="Date" numFmtId="164">
      <sharedItems containsSemiMixedTypes="0" containsNonDate="0" containsDate="1" containsString="0" minDate="2023-01-02T00:00:00" maxDate="2025-10-30T00:00:00" count="400">
        <d v="2023-01-02T00:00:00"/>
        <d v="2023-01-05T00:00:00"/>
        <d v="2023-01-09T00:00:00"/>
        <d v="2023-01-10T00:00:00"/>
        <d v="2023-01-12T00:00:00"/>
        <d v="2023-01-14T00:00:00"/>
        <d v="2023-01-15T00:00:00"/>
        <d v="2023-01-17T00:00:00"/>
        <d v="2023-01-18T00:00:00"/>
        <d v="2023-01-20T00:00:00"/>
        <d v="2023-01-21T00:00:00"/>
        <d v="2023-01-22T00:00:00"/>
        <d v="2023-01-23T00:00:00"/>
        <d v="2023-01-27T00:00:00"/>
        <d v="2023-01-29T00:00:00"/>
        <d v="2023-02-04T00:00:00"/>
        <d v="2023-02-05T00:00:00"/>
        <d v="2023-02-06T00:00:00"/>
        <d v="2023-02-07T00:00:00"/>
        <d v="2023-02-08T00:00:00"/>
        <d v="2023-02-10T00:00:00"/>
        <d v="2023-02-16T00:00:00"/>
        <d v="2023-02-20T00:00:00"/>
        <d v="2023-02-23T00:00:00"/>
        <d v="2023-02-27T00:00:00"/>
        <d v="2023-03-03T00:00:00"/>
        <d v="2023-03-06T00:00:00"/>
        <d v="2023-03-17T00:00:00"/>
        <d v="2023-03-21T00:00:00"/>
        <d v="2023-03-29T00:00:00"/>
        <d v="2023-03-31T00:00:00"/>
        <d v="2023-04-01T00:00:00"/>
        <d v="2023-04-02T00:00:00"/>
        <d v="2023-04-04T00:00:00"/>
        <d v="2023-04-06T00:00:00"/>
        <d v="2023-04-09T00:00:00"/>
        <d v="2023-04-14T00:00:00"/>
        <d v="2023-04-19T00:00:00"/>
        <d v="2023-04-23T00:00:00"/>
        <d v="2023-04-25T00:00:00"/>
        <d v="2023-04-27T00:00:00"/>
        <d v="2023-04-30T00:00:00"/>
        <d v="2023-05-02T00:00:00"/>
        <d v="2023-05-03T00:00:00"/>
        <d v="2023-05-08T00:00:00"/>
        <d v="2023-05-11T00:00:00"/>
        <d v="2023-05-14T00:00:00"/>
        <d v="2023-05-15T00:00:00"/>
        <d v="2023-05-24T00:00:00"/>
        <d v="2023-05-26T00:00:00"/>
        <d v="2023-05-27T00:00:00"/>
        <d v="2023-05-30T00:00:00"/>
        <d v="2023-05-31T00:00:00"/>
        <d v="2023-06-01T00:00:00"/>
        <d v="2023-06-02T00:00:00"/>
        <d v="2023-06-03T00:00:00"/>
        <d v="2023-06-04T00:00:00"/>
        <d v="2023-06-07T00:00:00"/>
        <d v="2023-06-09T00:00:00"/>
        <d v="2023-06-10T00:00:00"/>
        <d v="2023-06-11T00:00:00"/>
        <d v="2023-06-16T00:00:00"/>
        <d v="2023-06-19T00:00:00"/>
        <d v="2023-06-22T00:00:00"/>
        <d v="2023-06-26T00:00:00"/>
        <d v="2023-06-30T00:00:00"/>
        <d v="2023-07-06T00:00:00"/>
        <d v="2023-07-07T00:00:00"/>
        <d v="2023-07-09T00:00:00"/>
        <d v="2023-07-10T00:00:00"/>
        <d v="2023-07-11T00:00:00"/>
        <d v="2023-07-17T00:00:00"/>
        <d v="2023-07-20T00:00:00"/>
        <d v="2023-07-21T00:00:00"/>
        <d v="2023-07-22T00:00:00"/>
        <d v="2023-07-25T00:00:00"/>
        <d v="2023-07-26T00:00:00"/>
        <d v="2023-07-27T00:00:00"/>
        <d v="2023-08-05T00:00:00"/>
        <d v="2023-08-06T00:00:00"/>
        <d v="2023-08-08T00:00:00"/>
        <d v="2023-08-12T00:00:00"/>
        <d v="2023-08-14T00:00:00"/>
        <d v="2023-08-18T00:00:00"/>
        <d v="2023-08-19T00:00:00"/>
        <d v="2023-08-23T00:00:00"/>
        <d v="2023-08-30T00:00:00"/>
        <d v="2023-09-03T00:00:00"/>
        <d v="2023-09-04T00:00:00"/>
        <d v="2023-09-10T00:00:00"/>
        <d v="2023-09-11T00:00:00"/>
        <d v="2023-09-13T00:00:00"/>
        <d v="2023-09-15T00:00:00"/>
        <d v="2023-09-20T00:00:00"/>
        <d v="2023-09-21T00:00:00"/>
        <d v="2023-09-22T00:00:00"/>
        <d v="2023-09-26T00:00:00"/>
        <d v="2023-09-27T00:00:00"/>
        <d v="2023-10-04T00:00:00"/>
        <d v="2023-10-06T00:00:00"/>
        <d v="2023-10-07T00:00:00"/>
        <d v="2023-10-11T00:00:00"/>
        <d v="2023-10-12T00:00:00"/>
        <d v="2023-10-16T00:00:00"/>
        <d v="2023-10-21T00:00:00"/>
        <d v="2023-10-23T00:00:00"/>
        <d v="2023-10-29T00:00:00"/>
        <d v="2023-11-01T00:00:00"/>
        <d v="2023-11-10T00:00:00"/>
        <d v="2023-11-12T00:00:00"/>
        <d v="2023-11-14T00:00:00"/>
        <d v="2023-11-17T00:00:00"/>
        <d v="2023-11-27T00:00:00"/>
        <d v="2023-12-02T00:00:00"/>
        <d v="2023-12-04T00:00:00"/>
        <d v="2023-12-05T00:00:00"/>
        <d v="2023-12-07T00:00:00"/>
        <d v="2023-12-10T00:00:00"/>
        <d v="2023-12-12T00:00:00"/>
        <d v="2023-12-14T00:00:00"/>
        <d v="2023-12-23T00:00:00"/>
        <d v="2023-12-24T00:00:00"/>
        <d v="2024-01-05T00:00:00"/>
        <d v="2024-01-08T00:00:00"/>
        <d v="2024-01-09T00:00:00"/>
        <d v="2024-01-14T00:00:00"/>
        <d v="2024-01-15T00:00:00"/>
        <d v="2024-01-20T00:00:00"/>
        <d v="2024-01-21T00:00:00"/>
        <d v="2024-01-22T00:00:00"/>
        <d v="2024-01-23T00:00:00"/>
        <d v="2024-01-25T00:00:00"/>
        <d v="2024-01-27T00:00:00"/>
        <d v="2024-01-28T00:00:00"/>
        <d v="2024-01-31T00:00:00"/>
        <d v="2024-02-01T00:00:00"/>
        <d v="2024-02-02T00:00:00"/>
        <d v="2024-02-04T00:00:00"/>
        <d v="2024-02-05T00:00:00"/>
        <d v="2024-02-06T00:00:00"/>
        <d v="2024-02-07T00:00:00"/>
        <d v="2024-02-08T00:00:00"/>
        <d v="2024-02-11T00:00:00"/>
        <d v="2024-02-12T00:00:00"/>
        <d v="2024-02-17T00:00:00"/>
        <d v="2024-02-22T00:00:00"/>
        <d v="2024-02-23T00:00:00"/>
        <d v="2024-03-07T00:00:00"/>
        <d v="2024-03-13T00:00:00"/>
        <d v="2024-03-17T00:00:00"/>
        <d v="2024-03-19T00:00:00"/>
        <d v="2024-03-20T00:00:00"/>
        <d v="2024-03-25T00:00:00"/>
        <d v="2024-03-28T00:00:00"/>
        <d v="2024-03-30T00:00:00"/>
        <d v="2024-03-31T00:00:00"/>
        <d v="2024-04-01T00:00:00"/>
        <d v="2024-04-04T00:00:00"/>
        <d v="2024-04-05T00:00:00"/>
        <d v="2024-04-08T00:00:00"/>
        <d v="2024-04-11T00:00:00"/>
        <d v="2024-04-14T00:00:00"/>
        <d v="2024-04-15T00:00:00"/>
        <d v="2024-04-17T00:00:00"/>
        <d v="2024-04-18T00:00:00"/>
        <d v="2024-04-19T00:00:00"/>
        <d v="2024-04-20T00:00:00"/>
        <d v="2024-04-21T00:00:00"/>
        <d v="2024-04-29T00:00:00"/>
        <d v="2024-05-02T00:00:00"/>
        <d v="2024-05-03T00:00:00"/>
        <d v="2024-05-04T00:00:00"/>
        <d v="2024-05-06T00:00:00"/>
        <d v="2024-05-07T00:00:00"/>
        <d v="2024-05-11T00:00:00"/>
        <d v="2024-05-13T00:00:00"/>
        <d v="2024-05-14T00:00:00"/>
        <d v="2024-05-16T00:00:00"/>
        <d v="2024-05-17T00:00:00"/>
        <d v="2024-05-19T00:00:00"/>
        <d v="2024-05-23T00:00:00"/>
        <d v="2024-05-24T00:00:00"/>
        <d v="2024-05-25T00:00:00"/>
        <d v="2024-05-26T00:00:00"/>
        <d v="2024-05-27T00:00:00"/>
        <d v="2024-05-30T00:00:00"/>
        <d v="2024-06-01T00:00:00"/>
        <d v="2024-06-04T00:00:00"/>
        <d v="2024-06-05T00:00:00"/>
        <d v="2024-06-08T00:00:00"/>
        <d v="2024-06-21T00:00:00"/>
        <d v="2024-06-23T00:00:00"/>
        <d v="2024-06-24T00:00:00"/>
        <d v="2024-06-30T00:00:00"/>
        <d v="2024-07-04T00:00:00"/>
        <d v="2024-07-10T00:00:00"/>
        <d v="2024-07-13T00:00:00"/>
        <d v="2024-07-16T00:00:00"/>
        <d v="2024-07-17T00:00:00"/>
        <d v="2024-07-18T00:00:00"/>
        <d v="2024-07-19T00:00:00"/>
        <d v="2024-07-22T00:00:00"/>
        <d v="2024-07-23T00:00:00"/>
        <d v="2024-07-28T00:00:00"/>
        <d v="2024-07-31T00:00:00"/>
        <d v="2024-08-03T00:00:00"/>
        <d v="2024-08-09T00:00:00"/>
        <d v="2024-08-10T00:00:00"/>
        <d v="2024-08-15T00:00:00"/>
        <d v="2024-08-18T00:00:00"/>
        <d v="2024-08-23T00:00:00"/>
        <d v="2024-08-27T00:00:00"/>
        <d v="2024-08-29T00:00:00"/>
        <d v="2024-08-31T00:00:00"/>
        <d v="2024-09-04T00:00:00"/>
        <d v="2024-09-08T00:00:00"/>
        <d v="2024-09-15T00:00:00"/>
        <d v="2024-09-17T00:00:00"/>
        <d v="2024-09-19T00:00:00"/>
        <d v="2024-09-24T00:00:00"/>
        <d v="2024-09-25T00:00:00"/>
        <d v="2024-09-27T00:00:00"/>
        <d v="2024-10-01T00:00:00"/>
        <d v="2024-10-02T00:00:00"/>
        <d v="2024-10-03T00:00:00"/>
        <d v="2024-10-04T00:00:00"/>
        <d v="2024-10-07T00:00:00"/>
        <d v="2024-10-08T00:00:00"/>
        <d v="2024-10-09T00:00:00"/>
        <d v="2024-10-10T00:00:00"/>
        <d v="2024-10-14T00:00:00"/>
        <d v="2024-10-15T00:00:00"/>
        <d v="2024-10-17T00:00:00"/>
        <d v="2024-10-18T00:00:00"/>
        <d v="2024-10-19T00:00:00"/>
        <d v="2024-10-20T00:00:00"/>
        <d v="2024-10-21T00:00:00"/>
        <d v="2024-10-24T00:00:00"/>
        <d v="2024-10-25T00:00:00"/>
        <d v="2024-10-29T00:00:00"/>
        <d v="2024-11-02T00:00:00"/>
        <d v="2024-11-06T00:00:00"/>
        <d v="2024-11-12T00:00:00"/>
        <d v="2024-11-14T00:00:00"/>
        <d v="2024-11-15T00:00:00"/>
        <d v="2024-11-16T00:00:00"/>
        <d v="2024-11-17T00:00:00"/>
        <d v="2024-11-18T00:00:00"/>
        <d v="2024-11-20T00:00:00"/>
        <d v="2024-11-21T00:00:00"/>
        <d v="2024-11-27T00:00:00"/>
        <d v="2024-11-28T00:00:00"/>
        <d v="2024-11-29T00:00:00"/>
        <d v="2024-11-30T00:00:00"/>
        <d v="2024-12-03T00:00:00"/>
        <d v="2024-12-04T00:00:00"/>
        <d v="2024-12-09T00:00:00"/>
        <d v="2024-12-10T00:00:00"/>
        <d v="2024-12-14T00:00:00"/>
        <d v="2024-12-18T00:00:00"/>
        <d v="2024-12-20T00:00:00"/>
        <d v="2024-12-26T00:00:00"/>
        <d v="2024-12-27T00:00:00"/>
        <d v="2024-12-29T00:00:00"/>
        <d v="2024-12-30T00:00:00"/>
        <d v="2025-01-01T00:00:00"/>
        <d v="2025-01-02T00:00:00"/>
        <d v="2025-01-04T00:00:00"/>
        <d v="2025-01-05T00:00:00"/>
        <d v="2025-01-08T00:00:00"/>
        <d v="2025-01-09T00:00:00"/>
        <d v="2025-01-10T00:00:00"/>
        <d v="2025-01-12T00:00:00"/>
        <d v="2025-01-17T00:00:00"/>
        <d v="2025-01-18T00:00:00"/>
        <d v="2025-01-19T00:00:00"/>
        <d v="2025-01-20T00:00:00"/>
        <d v="2025-01-21T00:00:00"/>
        <d v="2025-01-23T00:00:00"/>
        <d v="2025-01-28T00:00:00"/>
        <d v="2025-01-30T00:00:00"/>
        <d v="2025-01-31T00:00:00"/>
        <d v="2025-02-02T00:00:00"/>
        <d v="2025-02-05T00:00:00"/>
        <d v="2025-02-07T00:00:00"/>
        <d v="2025-02-08T00:00:00"/>
        <d v="2025-02-12T00:00:00"/>
        <d v="2025-02-14T00:00:00"/>
        <d v="2025-02-15T00:00:00"/>
        <d v="2025-02-18T00:00:00"/>
        <d v="2025-02-22T00:00:00"/>
        <d v="2025-02-23T00:00:00"/>
        <d v="2025-02-28T00:00:00"/>
        <d v="2025-03-01T00:00:00"/>
        <d v="2025-03-02T00:00:00"/>
        <d v="2025-03-05T00:00:00"/>
        <d v="2025-03-06T00:00:00"/>
        <d v="2025-03-08T00:00:00"/>
        <d v="2025-03-11T00:00:00"/>
        <d v="2025-03-12T00:00:00"/>
        <d v="2025-03-15T00:00:00"/>
        <d v="2025-03-16T00:00:00"/>
        <d v="2025-03-25T00:00:00"/>
        <d v="2025-03-26T00:00:00"/>
        <d v="2025-04-01T00:00:00"/>
        <d v="2025-04-02T00:00:00"/>
        <d v="2025-04-03T00:00:00"/>
        <d v="2025-04-05T00:00:00"/>
        <d v="2025-04-07T00:00:00"/>
        <d v="2025-04-08T00:00:00"/>
        <d v="2025-04-10T00:00:00"/>
        <d v="2025-04-11T00:00:00"/>
        <d v="2025-04-13T00:00:00"/>
        <d v="2025-04-15T00:00:00"/>
        <d v="2025-04-17T00:00:00"/>
        <d v="2025-04-20T00:00:00"/>
        <d v="2025-04-28T00:00:00"/>
        <d v="2025-04-30T00:00:00"/>
        <d v="2025-05-01T00:00:00"/>
        <d v="2025-05-03T00:00:00"/>
        <d v="2025-05-04T00:00:00"/>
        <d v="2025-05-06T00:00:00"/>
        <d v="2025-05-10T00:00:00"/>
        <d v="2025-05-13T00:00:00"/>
        <d v="2025-05-16T00:00:00"/>
        <d v="2025-05-18T00:00:00"/>
        <d v="2025-05-20T00:00:00"/>
        <d v="2025-05-21T00:00:00"/>
        <d v="2025-05-22T00:00:00"/>
        <d v="2025-05-25T00:00:00"/>
        <d v="2025-05-26T00:00:00"/>
        <d v="2025-05-27T00:00:00"/>
        <d v="2025-05-28T00:00:00"/>
        <d v="2025-05-30T00:00:00"/>
        <d v="2025-06-01T00:00:00"/>
        <d v="2025-06-02T00:00:00"/>
        <d v="2025-06-03T00:00:00"/>
        <d v="2025-06-04T00:00:00"/>
        <d v="2025-06-09T00:00:00"/>
        <d v="2025-06-10T00:00:00"/>
        <d v="2025-06-13T00:00:00"/>
        <d v="2025-06-14T00:00:00"/>
        <d v="2025-06-15T00:00:00"/>
        <d v="2025-06-16T00:00:00"/>
        <d v="2025-06-21T00:00:00"/>
        <d v="2025-06-27T00:00:00"/>
        <d v="2025-06-30T00:00:00"/>
        <d v="2025-07-01T00:00:00"/>
        <d v="2025-07-02T00:00:00"/>
        <d v="2025-07-08T00:00:00"/>
        <d v="2025-07-09T00:00:00"/>
        <d v="2025-07-13T00:00:00"/>
        <d v="2025-07-16T00:00:00"/>
        <d v="2025-07-17T00:00:00"/>
        <d v="2025-07-18T00:00:00"/>
        <d v="2025-07-22T00:00:00"/>
        <d v="2025-07-23T00:00:00"/>
        <d v="2025-07-24T00:00:00"/>
        <d v="2025-08-03T00:00:00"/>
        <d v="2025-08-05T00:00:00"/>
        <d v="2025-08-09T00:00:00"/>
        <d v="2025-08-11T00:00:00"/>
        <d v="2025-08-12T00:00:00"/>
        <d v="2025-08-13T00:00:00"/>
        <d v="2025-08-14T00:00:00"/>
        <d v="2025-08-15T00:00:00"/>
        <d v="2025-08-16T00:00:00"/>
        <d v="2025-08-17T00:00:00"/>
        <d v="2025-08-18T00:00:00"/>
        <d v="2025-08-19T00:00:00"/>
        <d v="2025-08-25T00:00:00"/>
        <d v="2025-08-27T00:00:00"/>
        <d v="2025-08-28T00:00:00"/>
        <d v="2025-08-29T00:00:00"/>
        <d v="2025-08-30T00:00:00"/>
        <d v="2025-09-02T00:00:00"/>
        <d v="2025-09-04T00:00:00"/>
        <d v="2025-09-07T00:00:00"/>
        <d v="2025-09-08T00:00:00"/>
        <d v="2025-09-18T00:00:00"/>
        <d v="2025-09-19T00:00:00"/>
        <d v="2025-09-22T00:00:00"/>
        <d v="2025-09-23T00:00:00"/>
        <d v="2025-09-29T00:00:00"/>
        <d v="2025-09-30T00:00:00"/>
        <d v="2025-10-05T00:00:00"/>
        <d v="2025-10-08T00:00:00"/>
        <d v="2025-10-09T00:00:00"/>
        <d v="2025-10-11T00:00:00"/>
        <d v="2025-10-12T00:00:00"/>
        <d v="2025-10-13T00:00:00"/>
        <d v="2025-10-14T00:00:00"/>
        <d v="2025-10-16T00:00:00"/>
        <d v="2025-10-17T00:00:00"/>
        <d v="2025-10-18T00:00:00"/>
        <d v="2025-10-21T00:00:00"/>
        <d v="2025-10-22T00:00:00"/>
        <d v="2025-10-25T00:00:00"/>
        <d v="2025-10-28T00:00:00"/>
        <d v="2025-10-29T00:00:00"/>
      </sharedItems>
    </cacheField>
    <cacheField name="Product" numFmtId="0">
      <sharedItems/>
    </cacheField>
    <cacheField name="Quantity" numFmtId="0">
      <sharedItems containsSemiMixedTypes="0" containsString="0" containsNumber="1" containsInteger="1" minValue="1" maxValue="11"/>
    </cacheField>
    <cacheField name="Region" numFmtId="0">
      <sharedItems count="4">
        <s v="South"/>
        <s v="North"/>
        <s v="East"/>
        <s v="West"/>
      </sharedItems>
    </cacheField>
    <cacheField name="UnitPrice" numFmtId="0">
      <sharedItems containsSemiMixedTypes="0" containsString="0" containsNumber="1" minValue="7.15" maxValue="75.209999999999994"/>
    </cacheField>
    <cacheField name="Sales" numFmtId="0">
      <sharedItems containsSemiMixedTypes="0" containsString="0" containsNumber="1" minValue="7.88" maxValue="655.29"/>
    </cacheField>
    <cacheField name="YearMonth" numFmtId="0">
      <sharedItems count="34">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haredItems>
    </cacheField>
    <cacheField name="Month Full" numFmtId="0">
      <sharedItems count="34">
        <s v="January 2023"/>
        <s v="February 2023"/>
        <s v="March 2023"/>
        <s v="April 2023"/>
        <s v="May 2023"/>
        <s v="June 2023"/>
        <s v="July 2023"/>
        <s v="August 2023"/>
        <s v="September 2023"/>
        <s v="October 2023"/>
        <s v="November 2023"/>
        <s v="December 2023"/>
        <s v="January 2024"/>
        <s v="February 2024"/>
        <s v="March 2024"/>
        <s v="April 2024"/>
        <s v="May 2024"/>
        <s v="June 2024"/>
        <s v="July 2024"/>
        <s v="August 2024"/>
        <s v="September 2024"/>
        <s v="October 2024"/>
        <s v="November 2024"/>
        <s v="December 2024"/>
        <s v="January 2025"/>
        <s v="February 2025"/>
        <s v="March 2025"/>
        <s v="April 2025"/>
        <s v="May 2025"/>
        <s v="June 2025"/>
        <s v="July 2025"/>
        <s v="August 2025"/>
        <s v="September 2025"/>
        <s v="October 2025"/>
      </sharedItems>
    </cacheField>
    <cacheField name="MonthShort" numFmtId="0">
      <sharedItems/>
    </cacheField>
  </cacheFields>
  <extLst>
    <ext xmlns:x14="http://schemas.microsoft.com/office/spreadsheetml/2009/9/main" uri="{725AE2AE-9491-48be-B2B4-4EB974FC3084}">
      <x14:pivotCacheDefinition pivotCacheId="535037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175"/>
    <x v="0"/>
    <s v="Gadget Z"/>
    <n v="4"/>
    <x v="0"/>
    <n v="63.73"/>
    <n v="254.91"/>
    <x v="0"/>
    <x v="0"/>
    <s v="Jan 2023"/>
  </r>
  <r>
    <n v="1133"/>
    <x v="0"/>
    <s v="Component M"/>
    <n v="3"/>
    <x v="1"/>
    <n v="23.65"/>
    <n v="70.95"/>
    <x v="0"/>
    <x v="0"/>
    <s v="Jan 2023"/>
  </r>
  <r>
    <n v="1285"/>
    <x v="1"/>
    <s v="Widget A"/>
    <n v="3"/>
    <x v="0"/>
    <n v="24.84"/>
    <n v="74.510000000000005"/>
    <x v="0"/>
    <x v="0"/>
    <s v="Jan 2023"/>
  </r>
  <r>
    <n v="1180"/>
    <x v="2"/>
    <s v="Component L"/>
    <n v="4"/>
    <x v="1"/>
    <n v="19.46"/>
    <n v="77.849999999999994"/>
    <x v="0"/>
    <x v="0"/>
    <s v="Jan 2023"/>
  </r>
  <r>
    <n v="1491"/>
    <x v="3"/>
    <s v="Widget A"/>
    <n v="3"/>
    <x v="2"/>
    <n v="23.78"/>
    <n v="71.33"/>
    <x v="0"/>
    <x v="0"/>
    <s v="Jan 2023"/>
  </r>
  <r>
    <n v="1352"/>
    <x v="4"/>
    <s v="Widget B"/>
    <n v="2"/>
    <x v="1"/>
    <n v="34.69"/>
    <n v="69.39"/>
    <x v="0"/>
    <x v="0"/>
    <s v="Jan 2023"/>
  </r>
  <r>
    <n v="1035"/>
    <x v="5"/>
    <s v="Accessory 1"/>
    <n v="4"/>
    <x v="2"/>
    <n v="7.59"/>
    <n v="30.36"/>
    <x v="0"/>
    <x v="0"/>
    <s v="Jan 2023"/>
  </r>
  <r>
    <n v="1069"/>
    <x v="6"/>
    <s v="Component L"/>
    <n v="5"/>
    <x v="3"/>
    <n v="18.690000000000001"/>
    <n v="93.46"/>
    <x v="0"/>
    <x v="0"/>
    <s v="Jan 2023"/>
  </r>
  <r>
    <n v="1224"/>
    <x v="7"/>
    <s v="Component M"/>
    <n v="3"/>
    <x v="0"/>
    <n v="23.03"/>
    <n v="69.09"/>
    <x v="0"/>
    <x v="0"/>
    <s v="Jan 2023"/>
  </r>
  <r>
    <n v="1241"/>
    <x v="8"/>
    <s v="Accessory 2"/>
    <n v="3"/>
    <x v="2"/>
    <n v="10.68"/>
    <n v="32.03"/>
    <x v="0"/>
    <x v="0"/>
    <s v="Jan 2023"/>
  </r>
  <r>
    <n v="1261"/>
    <x v="9"/>
    <s v="Widget A"/>
    <n v="6"/>
    <x v="3"/>
    <n v="26"/>
    <n v="155.97999999999999"/>
    <x v="0"/>
    <x v="0"/>
    <s v="Jan 2023"/>
  </r>
  <r>
    <n v="1029"/>
    <x v="10"/>
    <s v="Widget C"/>
    <n v="1"/>
    <x v="1"/>
    <n v="15.11"/>
    <n v="15.11"/>
    <x v="0"/>
    <x v="0"/>
    <s v="Jan 2023"/>
  </r>
  <r>
    <n v="1014"/>
    <x v="11"/>
    <s v="Widget A"/>
    <n v="4"/>
    <x v="0"/>
    <n v="27.1"/>
    <n v="108.41"/>
    <x v="0"/>
    <x v="0"/>
    <s v="Jan 2023"/>
  </r>
  <r>
    <n v="1331"/>
    <x v="12"/>
    <s v="Gadget X"/>
    <n v="4"/>
    <x v="2"/>
    <n v="56.74"/>
    <n v="226.98"/>
    <x v="0"/>
    <x v="0"/>
    <s v="Jan 2023"/>
  </r>
  <r>
    <n v="1213"/>
    <x v="13"/>
    <s v="Accessory 2"/>
    <n v="2"/>
    <x v="0"/>
    <n v="11.69"/>
    <n v="23.37"/>
    <x v="0"/>
    <x v="0"/>
    <s v="Jan 2023"/>
  </r>
  <r>
    <n v="1422"/>
    <x v="14"/>
    <s v="Accessory 2"/>
    <n v="7"/>
    <x v="0"/>
    <n v="12.22"/>
    <n v="85.56"/>
    <x v="0"/>
    <x v="0"/>
    <s v="Jan 2023"/>
  </r>
  <r>
    <n v="1355"/>
    <x v="15"/>
    <s v="Component M"/>
    <n v="4"/>
    <x v="2"/>
    <n v="22.14"/>
    <n v="88.58"/>
    <x v="1"/>
    <x v="1"/>
    <s v="Feb 2023"/>
  </r>
  <r>
    <n v="1044"/>
    <x v="15"/>
    <s v="Widget C"/>
    <n v="5"/>
    <x v="3"/>
    <n v="13.32"/>
    <n v="66.58"/>
    <x v="1"/>
    <x v="1"/>
    <s v="Feb 2023"/>
  </r>
  <r>
    <n v="1259"/>
    <x v="16"/>
    <s v="Gadget Y"/>
    <n v="6"/>
    <x v="0"/>
    <n v="46.84"/>
    <n v="281.02999999999997"/>
    <x v="1"/>
    <x v="1"/>
    <s v="Feb 2023"/>
  </r>
  <r>
    <n v="1380"/>
    <x v="17"/>
    <s v="Widget A"/>
    <n v="1"/>
    <x v="1"/>
    <n v="23.27"/>
    <n v="23.27"/>
    <x v="1"/>
    <x v="1"/>
    <s v="Feb 2023"/>
  </r>
  <r>
    <n v="1209"/>
    <x v="18"/>
    <s v="Gadget Y"/>
    <n v="3"/>
    <x v="3"/>
    <n v="42.36"/>
    <n v="127.07"/>
    <x v="1"/>
    <x v="1"/>
    <s v="Feb 2023"/>
  </r>
  <r>
    <n v="1432"/>
    <x v="19"/>
    <s v="Gadget X"/>
    <n v="6"/>
    <x v="3"/>
    <n v="55.03"/>
    <n v="330.17"/>
    <x v="1"/>
    <x v="1"/>
    <s v="Feb 2023"/>
  </r>
  <r>
    <n v="1476"/>
    <x v="20"/>
    <s v="Widget C"/>
    <n v="6"/>
    <x v="2"/>
    <n v="14.71"/>
    <n v="88.23"/>
    <x v="1"/>
    <x v="1"/>
    <s v="Feb 2023"/>
  </r>
  <r>
    <n v="1080"/>
    <x v="20"/>
    <s v="Accessory 1"/>
    <n v="3"/>
    <x v="2"/>
    <n v="8.33"/>
    <n v="24.99"/>
    <x v="1"/>
    <x v="1"/>
    <s v="Feb 2023"/>
  </r>
  <r>
    <n v="1290"/>
    <x v="21"/>
    <s v="Gadget Y"/>
    <n v="6"/>
    <x v="0"/>
    <n v="45.16"/>
    <n v="270.98"/>
    <x v="1"/>
    <x v="1"/>
    <s v="Feb 2023"/>
  </r>
  <r>
    <n v="1458"/>
    <x v="21"/>
    <s v="Gadget X"/>
    <n v="5"/>
    <x v="3"/>
    <n v="57.35"/>
    <n v="286.74"/>
    <x v="1"/>
    <x v="1"/>
    <s v="Feb 2023"/>
  </r>
  <r>
    <n v="1271"/>
    <x v="22"/>
    <s v="Component M"/>
    <n v="5"/>
    <x v="3"/>
    <n v="21.81"/>
    <n v="109.06"/>
    <x v="1"/>
    <x v="1"/>
    <s v="Feb 2023"/>
  </r>
  <r>
    <n v="1185"/>
    <x v="23"/>
    <s v="Component L"/>
    <n v="5"/>
    <x v="2"/>
    <n v="19.399999999999999"/>
    <n v="97.01"/>
    <x v="1"/>
    <x v="1"/>
    <s v="Feb 2023"/>
  </r>
  <r>
    <n v="1449"/>
    <x v="24"/>
    <s v="Widget C"/>
    <n v="6"/>
    <x v="0"/>
    <n v="15.83"/>
    <n v="94.96"/>
    <x v="1"/>
    <x v="1"/>
    <s v="Feb 2023"/>
  </r>
  <r>
    <n v="1385"/>
    <x v="25"/>
    <s v="Component M"/>
    <n v="4"/>
    <x v="0"/>
    <n v="22.16"/>
    <n v="88.62"/>
    <x v="2"/>
    <x v="2"/>
    <s v="Mar 2023"/>
  </r>
  <r>
    <n v="1070"/>
    <x v="26"/>
    <s v="Component L"/>
    <n v="6"/>
    <x v="2"/>
    <n v="17.57"/>
    <n v="105.43"/>
    <x v="2"/>
    <x v="2"/>
    <s v="Mar 2023"/>
  </r>
  <r>
    <n v="1393"/>
    <x v="27"/>
    <s v="Gadget Y"/>
    <n v="3"/>
    <x v="3"/>
    <n v="46.41"/>
    <n v="139.24"/>
    <x v="2"/>
    <x v="2"/>
    <s v="Mar 2023"/>
  </r>
  <r>
    <n v="1454"/>
    <x v="28"/>
    <s v="Widget A"/>
    <n v="5"/>
    <x v="3"/>
    <n v="24.19"/>
    <n v="120.94"/>
    <x v="2"/>
    <x v="2"/>
    <s v="Mar 2023"/>
  </r>
  <r>
    <n v="1004"/>
    <x v="29"/>
    <s v="Widget B"/>
    <n v="2"/>
    <x v="0"/>
    <n v="28.91"/>
    <n v="57.83"/>
    <x v="2"/>
    <x v="2"/>
    <s v="Mar 2023"/>
  </r>
  <r>
    <n v="1358"/>
    <x v="30"/>
    <s v="Widget B"/>
    <n v="2"/>
    <x v="1"/>
    <n v="35.4"/>
    <n v="70.8"/>
    <x v="2"/>
    <x v="2"/>
    <s v="Mar 2023"/>
  </r>
  <r>
    <n v="1471"/>
    <x v="30"/>
    <s v="Accessory 2"/>
    <n v="3"/>
    <x v="0"/>
    <n v="9.9700000000000006"/>
    <n v="29.9"/>
    <x v="2"/>
    <x v="2"/>
    <s v="Mar 2023"/>
  </r>
  <r>
    <n v="1430"/>
    <x v="31"/>
    <s v="Gadget Z"/>
    <n v="4"/>
    <x v="1"/>
    <n v="67.13"/>
    <n v="268.51"/>
    <x v="3"/>
    <x v="3"/>
    <s v="Apr 2023"/>
  </r>
  <r>
    <n v="1040"/>
    <x v="32"/>
    <s v="Widget C"/>
    <n v="6"/>
    <x v="2"/>
    <n v="15.52"/>
    <n v="93.09"/>
    <x v="3"/>
    <x v="3"/>
    <s v="Apr 2023"/>
  </r>
  <r>
    <n v="1320"/>
    <x v="33"/>
    <s v="Widget B"/>
    <n v="8"/>
    <x v="3"/>
    <n v="34.33"/>
    <n v="274.67"/>
    <x v="3"/>
    <x v="3"/>
    <s v="Apr 2023"/>
  </r>
  <r>
    <n v="1378"/>
    <x v="34"/>
    <s v="Component L"/>
    <n v="6"/>
    <x v="3"/>
    <n v="17.899999999999999"/>
    <n v="107.42"/>
    <x v="3"/>
    <x v="3"/>
    <s v="Apr 2023"/>
  </r>
  <r>
    <n v="1107"/>
    <x v="34"/>
    <s v="Widget A"/>
    <n v="3"/>
    <x v="2"/>
    <n v="23.9"/>
    <n v="71.709999999999994"/>
    <x v="3"/>
    <x v="3"/>
    <s v="Apr 2023"/>
  </r>
  <r>
    <n v="1191"/>
    <x v="35"/>
    <s v="Gadget Y"/>
    <n v="5"/>
    <x v="3"/>
    <n v="46.03"/>
    <n v="230.15"/>
    <x v="3"/>
    <x v="3"/>
    <s v="Apr 2023"/>
  </r>
  <r>
    <n v="1228"/>
    <x v="35"/>
    <s v="Accessory 1"/>
    <n v="3"/>
    <x v="0"/>
    <n v="7.91"/>
    <n v="23.72"/>
    <x v="3"/>
    <x v="3"/>
    <s v="Apr 2023"/>
  </r>
  <r>
    <n v="1088"/>
    <x v="35"/>
    <s v="Widget B"/>
    <n v="11"/>
    <x v="1"/>
    <n v="34.46"/>
    <n v="379.03"/>
    <x v="3"/>
    <x v="3"/>
    <s v="Apr 2023"/>
  </r>
  <r>
    <n v="1188"/>
    <x v="36"/>
    <s v="Gadget Z"/>
    <n v="4"/>
    <x v="1"/>
    <n v="73.27"/>
    <n v="293.10000000000002"/>
    <x v="3"/>
    <x v="3"/>
    <s v="Apr 2023"/>
  </r>
  <r>
    <n v="1405"/>
    <x v="37"/>
    <s v="Gadget Y"/>
    <n v="2"/>
    <x v="2"/>
    <n v="46.04"/>
    <n v="92.07"/>
    <x v="3"/>
    <x v="3"/>
    <s v="Apr 2023"/>
  </r>
  <r>
    <n v="1132"/>
    <x v="38"/>
    <s v="Widget A"/>
    <n v="5"/>
    <x v="1"/>
    <n v="27.05"/>
    <n v="135.24"/>
    <x v="3"/>
    <x v="3"/>
    <s v="Apr 2023"/>
  </r>
  <r>
    <n v="1364"/>
    <x v="39"/>
    <s v="Widget C"/>
    <n v="4"/>
    <x v="0"/>
    <n v="14.37"/>
    <n v="57.49"/>
    <x v="3"/>
    <x v="3"/>
    <s v="Apr 2023"/>
  </r>
  <r>
    <n v="1302"/>
    <x v="40"/>
    <s v="Widget A"/>
    <n v="5"/>
    <x v="2"/>
    <n v="23.85"/>
    <n v="119.23"/>
    <x v="3"/>
    <x v="3"/>
    <s v="Apr 2023"/>
  </r>
  <r>
    <n v="1299"/>
    <x v="41"/>
    <s v="Widget C"/>
    <n v="4"/>
    <x v="1"/>
    <n v="15.8"/>
    <n v="63.19"/>
    <x v="3"/>
    <x v="3"/>
    <s v="Apr 2023"/>
  </r>
  <r>
    <n v="1001"/>
    <x v="42"/>
    <s v="Component L"/>
    <n v="7"/>
    <x v="2"/>
    <n v="19.72"/>
    <n v="138.04"/>
    <x v="4"/>
    <x v="4"/>
    <s v="May 2023"/>
  </r>
  <r>
    <n v="1142"/>
    <x v="43"/>
    <s v="Gadget X"/>
    <n v="7"/>
    <x v="0"/>
    <n v="60.82"/>
    <n v="425.73"/>
    <x v="4"/>
    <x v="4"/>
    <s v="May 2023"/>
  </r>
  <r>
    <n v="1240"/>
    <x v="44"/>
    <s v="Widget A"/>
    <n v="8"/>
    <x v="1"/>
    <n v="26.56"/>
    <n v="212.44"/>
    <x v="4"/>
    <x v="4"/>
    <s v="May 2023"/>
  </r>
  <r>
    <n v="1006"/>
    <x v="45"/>
    <s v="Accessory 1"/>
    <n v="6"/>
    <x v="1"/>
    <n v="8.08"/>
    <n v="48.49"/>
    <x v="4"/>
    <x v="4"/>
    <s v="May 2023"/>
  </r>
  <r>
    <n v="1448"/>
    <x v="46"/>
    <s v="Gadget X"/>
    <n v="4"/>
    <x v="0"/>
    <n v="54.13"/>
    <n v="216.52"/>
    <x v="4"/>
    <x v="4"/>
    <s v="May 2023"/>
  </r>
  <r>
    <n v="1081"/>
    <x v="47"/>
    <s v="Widget C"/>
    <n v="6"/>
    <x v="3"/>
    <n v="14.91"/>
    <n v="89.44"/>
    <x v="4"/>
    <x v="4"/>
    <s v="May 2023"/>
  </r>
  <r>
    <n v="1151"/>
    <x v="48"/>
    <s v="Gadget Y"/>
    <n v="7"/>
    <x v="0"/>
    <n v="44.16"/>
    <n v="309.12"/>
    <x v="4"/>
    <x v="4"/>
    <s v="May 2023"/>
  </r>
  <r>
    <n v="1399"/>
    <x v="48"/>
    <s v="Gadget X"/>
    <n v="4"/>
    <x v="0"/>
    <n v="52.21"/>
    <n v="208.82"/>
    <x v="4"/>
    <x v="4"/>
    <s v="May 2023"/>
  </r>
  <r>
    <n v="1170"/>
    <x v="48"/>
    <s v="Accessory 1"/>
    <n v="6"/>
    <x v="3"/>
    <n v="8.27"/>
    <n v="49.6"/>
    <x v="4"/>
    <x v="4"/>
    <s v="May 2023"/>
  </r>
  <r>
    <n v="1498"/>
    <x v="49"/>
    <s v="Component L"/>
    <n v="2"/>
    <x v="0"/>
    <n v="17.12"/>
    <n v="34.25"/>
    <x v="4"/>
    <x v="4"/>
    <s v="May 2023"/>
  </r>
  <r>
    <n v="1159"/>
    <x v="50"/>
    <s v="Gadget X"/>
    <n v="5"/>
    <x v="3"/>
    <n v="51.85"/>
    <n v="259.25"/>
    <x v="4"/>
    <x v="4"/>
    <s v="May 2023"/>
  </r>
  <r>
    <n v="1273"/>
    <x v="51"/>
    <s v="Widget C"/>
    <n v="5"/>
    <x v="1"/>
    <n v="13.97"/>
    <n v="69.84"/>
    <x v="4"/>
    <x v="4"/>
    <s v="May 2023"/>
  </r>
  <r>
    <n v="1168"/>
    <x v="52"/>
    <s v="Accessory 1"/>
    <n v="4"/>
    <x v="0"/>
    <n v="8.24"/>
    <n v="32.96"/>
    <x v="4"/>
    <x v="4"/>
    <s v="May 2023"/>
  </r>
  <r>
    <n v="1184"/>
    <x v="53"/>
    <s v="Widget C"/>
    <n v="4"/>
    <x v="3"/>
    <n v="14.46"/>
    <n v="57.85"/>
    <x v="5"/>
    <x v="5"/>
    <s v="Jun 2023"/>
  </r>
  <r>
    <n v="1192"/>
    <x v="54"/>
    <s v="Accessory 1"/>
    <n v="2"/>
    <x v="1"/>
    <n v="7.97"/>
    <n v="15.94"/>
    <x v="5"/>
    <x v="5"/>
    <s v="Jun 2023"/>
  </r>
  <r>
    <n v="1316"/>
    <x v="55"/>
    <s v="Accessory 1"/>
    <n v="3"/>
    <x v="0"/>
    <n v="7.77"/>
    <n v="23.31"/>
    <x v="5"/>
    <x v="5"/>
    <s v="Jun 2023"/>
  </r>
  <r>
    <n v="1248"/>
    <x v="56"/>
    <s v="Component L"/>
    <n v="3"/>
    <x v="3"/>
    <n v="18.77"/>
    <n v="56.32"/>
    <x v="5"/>
    <x v="5"/>
    <s v="Jun 2023"/>
  </r>
  <r>
    <n v="1225"/>
    <x v="57"/>
    <s v="Widget C"/>
    <n v="3"/>
    <x v="0"/>
    <n v="16.14"/>
    <n v="48.42"/>
    <x v="5"/>
    <x v="5"/>
    <s v="Jun 2023"/>
  </r>
  <r>
    <n v="1344"/>
    <x v="58"/>
    <s v="Gadget Y"/>
    <n v="5"/>
    <x v="3"/>
    <n v="46.55"/>
    <n v="232.74"/>
    <x v="5"/>
    <x v="5"/>
    <s v="Jun 2023"/>
  </r>
  <r>
    <n v="1198"/>
    <x v="59"/>
    <s v="Component L"/>
    <n v="6"/>
    <x v="3"/>
    <n v="18.73"/>
    <n v="112.37"/>
    <x v="5"/>
    <x v="5"/>
    <s v="Jun 2023"/>
  </r>
  <r>
    <n v="1052"/>
    <x v="60"/>
    <s v="Accessory 1"/>
    <n v="2"/>
    <x v="3"/>
    <n v="7.87"/>
    <n v="15.74"/>
    <x v="5"/>
    <x v="5"/>
    <s v="Jun 2023"/>
  </r>
  <r>
    <n v="1429"/>
    <x v="61"/>
    <s v="Gadget Z"/>
    <n v="4"/>
    <x v="1"/>
    <n v="68.62"/>
    <n v="274.48"/>
    <x v="5"/>
    <x v="5"/>
    <s v="Jun 2023"/>
  </r>
  <r>
    <n v="1031"/>
    <x v="61"/>
    <s v="Accessory 2"/>
    <n v="5"/>
    <x v="3"/>
    <n v="12.38"/>
    <n v="61.92"/>
    <x v="5"/>
    <x v="5"/>
    <s v="Jun 2023"/>
  </r>
  <r>
    <n v="1418"/>
    <x v="62"/>
    <s v="Accessory 2"/>
    <n v="4"/>
    <x v="0"/>
    <n v="11.73"/>
    <n v="46.94"/>
    <x v="5"/>
    <x v="5"/>
    <s v="Jun 2023"/>
  </r>
  <r>
    <n v="1433"/>
    <x v="63"/>
    <s v="Widget C"/>
    <n v="3"/>
    <x v="0"/>
    <n v="15.14"/>
    <n v="45.42"/>
    <x v="5"/>
    <x v="5"/>
    <s v="Jun 2023"/>
  </r>
  <r>
    <n v="1452"/>
    <x v="63"/>
    <s v="Component M"/>
    <n v="2"/>
    <x v="2"/>
    <n v="22.99"/>
    <n v="45.98"/>
    <x v="5"/>
    <x v="5"/>
    <s v="Jun 2023"/>
  </r>
  <r>
    <n v="1390"/>
    <x v="64"/>
    <s v="Widget B"/>
    <n v="4"/>
    <x v="0"/>
    <n v="35.82"/>
    <n v="143.29"/>
    <x v="5"/>
    <x v="5"/>
    <s v="Jun 2023"/>
  </r>
  <r>
    <n v="1232"/>
    <x v="65"/>
    <s v="Component M"/>
    <n v="3"/>
    <x v="2"/>
    <n v="23.2"/>
    <n v="69.599999999999994"/>
    <x v="5"/>
    <x v="5"/>
    <s v="Jun 2023"/>
  </r>
  <r>
    <n v="1153"/>
    <x v="66"/>
    <s v="Accessory 2"/>
    <n v="5"/>
    <x v="2"/>
    <n v="12.83"/>
    <n v="64.16"/>
    <x v="6"/>
    <x v="6"/>
    <s v="Jul 2023"/>
  </r>
  <r>
    <n v="1066"/>
    <x v="67"/>
    <s v="Gadget X"/>
    <n v="4"/>
    <x v="0"/>
    <n v="57.65"/>
    <n v="230.59"/>
    <x v="6"/>
    <x v="6"/>
    <s v="Jul 2023"/>
  </r>
  <r>
    <n v="1119"/>
    <x v="68"/>
    <s v="Widget A"/>
    <n v="2"/>
    <x v="0"/>
    <n v="25.24"/>
    <n v="50.47"/>
    <x v="6"/>
    <x v="6"/>
    <s v="Jul 2023"/>
  </r>
  <r>
    <n v="1022"/>
    <x v="68"/>
    <s v="Accessory 2"/>
    <n v="4"/>
    <x v="1"/>
    <n v="11.54"/>
    <n v="46.15"/>
    <x v="6"/>
    <x v="6"/>
    <s v="Jul 2023"/>
  </r>
  <r>
    <n v="1443"/>
    <x v="68"/>
    <s v="Widget B"/>
    <n v="2"/>
    <x v="0"/>
    <n v="34.46"/>
    <n v="68.92"/>
    <x v="6"/>
    <x v="6"/>
    <s v="Jul 2023"/>
  </r>
  <r>
    <n v="1236"/>
    <x v="69"/>
    <s v="Gadget X"/>
    <n v="4"/>
    <x v="2"/>
    <n v="54.92"/>
    <n v="219.67"/>
    <x v="6"/>
    <x v="6"/>
    <s v="Jul 2023"/>
  </r>
  <r>
    <n v="1374"/>
    <x v="70"/>
    <s v="Accessory 1"/>
    <n v="5"/>
    <x v="3"/>
    <n v="8.1300000000000008"/>
    <n v="40.65"/>
    <x v="6"/>
    <x v="6"/>
    <s v="Jul 2023"/>
  </r>
  <r>
    <n v="1148"/>
    <x v="71"/>
    <s v="Widget A"/>
    <n v="3"/>
    <x v="0"/>
    <n v="25.6"/>
    <n v="76.81"/>
    <x v="6"/>
    <x v="6"/>
    <s v="Jul 2023"/>
  </r>
  <r>
    <n v="1082"/>
    <x v="72"/>
    <s v="Gadget Z"/>
    <n v="4"/>
    <x v="0"/>
    <n v="65.77"/>
    <n v="263.07"/>
    <x v="6"/>
    <x v="6"/>
    <s v="Jul 2023"/>
  </r>
  <r>
    <n v="1053"/>
    <x v="73"/>
    <s v="Accessory 1"/>
    <n v="2"/>
    <x v="3"/>
    <n v="7.81"/>
    <n v="15.62"/>
    <x v="6"/>
    <x v="6"/>
    <s v="Jul 2023"/>
  </r>
  <r>
    <n v="1141"/>
    <x v="74"/>
    <s v="Component L"/>
    <n v="4"/>
    <x v="1"/>
    <n v="18.12"/>
    <n v="72.48"/>
    <x v="6"/>
    <x v="6"/>
    <s v="Jul 2023"/>
  </r>
  <r>
    <n v="1456"/>
    <x v="74"/>
    <s v="Gadget X"/>
    <n v="1"/>
    <x v="2"/>
    <n v="57.74"/>
    <n v="57.74"/>
    <x v="6"/>
    <x v="6"/>
    <s v="Jul 2023"/>
  </r>
  <r>
    <n v="1045"/>
    <x v="75"/>
    <s v="Accessory 2"/>
    <n v="5"/>
    <x v="1"/>
    <n v="12.41"/>
    <n v="62.03"/>
    <x v="6"/>
    <x v="6"/>
    <s v="Jul 2023"/>
  </r>
  <r>
    <n v="1101"/>
    <x v="76"/>
    <s v="Accessory 2"/>
    <n v="8"/>
    <x v="1"/>
    <n v="12.48"/>
    <n v="99.85"/>
    <x v="6"/>
    <x v="6"/>
    <s v="Jul 2023"/>
  </r>
  <r>
    <n v="1182"/>
    <x v="77"/>
    <s v="Gadget Y"/>
    <n v="4"/>
    <x v="1"/>
    <n v="41.86"/>
    <n v="167.42"/>
    <x v="6"/>
    <x v="6"/>
    <s v="Jul 2023"/>
  </r>
  <r>
    <n v="1064"/>
    <x v="78"/>
    <s v="Accessory 2"/>
    <n v="3"/>
    <x v="3"/>
    <n v="12.04"/>
    <n v="36.11"/>
    <x v="7"/>
    <x v="7"/>
    <s v="Aug 2023"/>
  </r>
  <r>
    <n v="1426"/>
    <x v="78"/>
    <s v="Gadget X"/>
    <n v="7"/>
    <x v="3"/>
    <n v="57.48"/>
    <n v="402.39"/>
    <x v="7"/>
    <x v="7"/>
    <s v="Aug 2023"/>
  </r>
  <r>
    <n v="1382"/>
    <x v="78"/>
    <s v="Widget A"/>
    <n v="1"/>
    <x v="2"/>
    <n v="26.11"/>
    <n v="26.11"/>
    <x v="7"/>
    <x v="7"/>
    <s v="Aug 2023"/>
  </r>
  <r>
    <n v="1325"/>
    <x v="79"/>
    <s v="Gadget Y"/>
    <n v="6"/>
    <x v="2"/>
    <n v="42.14"/>
    <n v="252.81"/>
    <x v="7"/>
    <x v="7"/>
    <s v="Aug 2023"/>
  </r>
  <r>
    <n v="1135"/>
    <x v="80"/>
    <s v="Widget B"/>
    <n v="4"/>
    <x v="3"/>
    <n v="38.44"/>
    <n v="153.76"/>
    <x v="7"/>
    <x v="7"/>
    <s v="Aug 2023"/>
  </r>
  <r>
    <n v="1499"/>
    <x v="81"/>
    <s v="Gadget X"/>
    <n v="4"/>
    <x v="3"/>
    <n v="49.84"/>
    <n v="199.35"/>
    <x v="7"/>
    <x v="7"/>
    <s v="Aug 2023"/>
  </r>
  <r>
    <n v="1214"/>
    <x v="82"/>
    <s v="Widget A"/>
    <n v="2"/>
    <x v="1"/>
    <n v="25.11"/>
    <n v="50.22"/>
    <x v="7"/>
    <x v="7"/>
    <s v="Aug 2023"/>
  </r>
  <r>
    <n v="1210"/>
    <x v="83"/>
    <s v="Gadget Y"/>
    <n v="6"/>
    <x v="2"/>
    <n v="45.82"/>
    <n v="274.93"/>
    <x v="7"/>
    <x v="7"/>
    <s v="Aug 2023"/>
  </r>
  <r>
    <n v="1109"/>
    <x v="84"/>
    <s v="Accessory 1"/>
    <n v="4"/>
    <x v="1"/>
    <n v="7.92"/>
    <n v="31.68"/>
    <x v="7"/>
    <x v="7"/>
    <s v="Aug 2023"/>
  </r>
  <r>
    <n v="1078"/>
    <x v="84"/>
    <s v="Gadget Z"/>
    <n v="6"/>
    <x v="3"/>
    <n v="58.97"/>
    <n v="353.83"/>
    <x v="7"/>
    <x v="7"/>
    <s v="Aug 2023"/>
  </r>
  <r>
    <n v="1410"/>
    <x v="85"/>
    <s v="Component L"/>
    <n v="3"/>
    <x v="0"/>
    <n v="17.739999999999998"/>
    <n v="53.23"/>
    <x v="7"/>
    <x v="7"/>
    <s v="Aug 2023"/>
  </r>
  <r>
    <n v="1036"/>
    <x v="86"/>
    <s v="Gadget Y"/>
    <n v="6"/>
    <x v="0"/>
    <n v="45.41"/>
    <n v="272.48"/>
    <x v="7"/>
    <x v="7"/>
    <s v="Aug 2023"/>
  </r>
  <r>
    <n v="1251"/>
    <x v="87"/>
    <s v="Widget A"/>
    <n v="4"/>
    <x v="1"/>
    <n v="24.55"/>
    <n v="98.2"/>
    <x v="8"/>
    <x v="8"/>
    <s v="Sep 2023"/>
  </r>
  <r>
    <n v="1139"/>
    <x v="88"/>
    <s v="Component M"/>
    <n v="4"/>
    <x v="3"/>
    <n v="21.14"/>
    <n v="84.57"/>
    <x v="8"/>
    <x v="8"/>
    <s v="Sep 2023"/>
  </r>
  <r>
    <n v="1315"/>
    <x v="88"/>
    <s v="Widget C"/>
    <n v="2"/>
    <x v="2"/>
    <n v="15.56"/>
    <n v="31.12"/>
    <x v="8"/>
    <x v="8"/>
    <s v="Sep 2023"/>
  </r>
  <r>
    <n v="1015"/>
    <x v="89"/>
    <s v="Gadget Z"/>
    <n v="3"/>
    <x v="2"/>
    <n v="72.739999999999995"/>
    <n v="218.22"/>
    <x v="8"/>
    <x v="8"/>
    <s v="Sep 2023"/>
  </r>
  <r>
    <n v="1237"/>
    <x v="89"/>
    <s v="Widget A"/>
    <n v="1"/>
    <x v="0"/>
    <n v="25.32"/>
    <n v="25.32"/>
    <x v="8"/>
    <x v="8"/>
    <s v="Sep 2023"/>
  </r>
  <r>
    <n v="1177"/>
    <x v="90"/>
    <s v="Gadget X"/>
    <n v="2"/>
    <x v="1"/>
    <n v="61.18"/>
    <n v="122.35"/>
    <x v="8"/>
    <x v="8"/>
    <s v="Sep 2023"/>
  </r>
  <r>
    <n v="1189"/>
    <x v="90"/>
    <s v="Gadget Y"/>
    <n v="4"/>
    <x v="3"/>
    <n v="45.93"/>
    <n v="183.72"/>
    <x v="8"/>
    <x v="8"/>
    <s v="Sep 2023"/>
  </r>
  <r>
    <n v="1488"/>
    <x v="91"/>
    <s v="Component L"/>
    <n v="6"/>
    <x v="0"/>
    <n v="18.77"/>
    <n v="112.62"/>
    <x v="8"/>
    <x v="8"/>
    <s v="Sep 2023"/>
  </r>
  <r>
    <n v="1341"/>
    <x v="92"/>
    <s v="Gadget X"/>
    <n v="1"/>
    <x v="0"/>
    <n v="57.73"/>
    <n v="57.73"/>
    <x v="8"/>
    <x v="8"/>
    <s v="Sep 2023"/>
  </r>
  <r>
    <n v="1169"/>
    <x v="93"/>
    <s v="Gadget Z"/>
    <n v="2"/>
    <x v="0"/>
    <n v="62.37"/>
    <n v="124.73"/>
    <x v="8"/>
    <x v="8"/>
    <s v="Sep 2023"/>
  </r>
  <r>
    <n v="1283"/>
    <x v="94"/>
    <s v="Component M"/>
    <n v="6"/>
    <x v="3"/>
    <n v="23.02"/>
    <n v="138.12"/>
    <x v="8"/>
    <x v="8"/>
    <s v="Sep 2023"/>
  </r>
  <r>
    <n v="1394"/>
    <x v="95"/>
    <s v="Widget C"/>
    <n v="4"/>
    <x v="0"/>
    <n v="14.41"/>
    <n v="57.63"/>
    <x v="8"/>
    <x v="8"/>
    <s v="Sep 2023"/>
  </r>
  <r>
    <n v="1295"/>
    <x v="96"/>
    <s v="Widget C"/>
    <n v="5"/>
    <x v="3"/>
    <n v="14.31"/>
    <n v="71.540000000000006"/>
    <x v="8"/>
    <x v="8"/>
    <s v="Sep 2023"/>
  </r>
  <r>
    <n v="1055"/>
    <x v="97"/>
    <s v="Component L"/>
    <n v="5"/>
    <x v="3"/>
    <n v="19.27"/>
    <n v="96.37"/>
    <x v="8"/>
    <x v="8"/>
    <s v="Sep 2023"/>
  </r>
  <r>
    <n v="1012"/>
    <x v="98"/>
    <s v="Accessory 1"/>
    <n v="5"/>
    <x v="3"/>
    <n v="8.2200000000000006"/>
    <n v="41.12"/>
    <x v="9"/>
    <x v="9"/>
    <s v="Oct 2023"/>
  </r>
  <r>
    <n v="1381"/>
    <x v="99"/>
    <s v="Widget C"/>
    <n v="3"/>
    <x v="1"/>
    <n v="15.72"/>
    <n v="47.17"/>
    <x v="9"/>
    <x v="9"/>
    <s v="Oct 2023"/>
  </r>
  <r>
    <n v="1229"/>
    <x v="100"/>
    <s v="Widget A"/>
    <n v="5"/>
    <x v="1"/>
    <n v="23.69"/>
    <n v="118.46"/>
    <x v="9"/>
    <x v="9"/>
    <s v="Oct 2023"/>
  </r>
  <r>
    <n v="1146"/>
    <x v="100"/>
    <s v="Accessory 2"/>
    <n v="1"/>
    <x v="3"/>
    <n v="11.21"/>
    <n v="11.21"/>
    <x v="9"/>
    <x v="9"/>
    <s v="Oct 2023"/>
  </r>
  <r>
    <n v="1216"/>
    <x v="101"/>
    <s v="Component M"/>
    <n v="4"/>
    <x v="2"/>
    <n v="21.12"/>
    <n v="84.48"/>
    <x v="9"/>
    <x v="9"/>
    <s v="Oct 2023"/>
  </r>
  <r>
    <n v="1350"/>
    <x v="102"/>
    <s v="Widget A"/>
    <n v="2"/>
    <x v="2"/>
    <n v="25.56"/>
    <n v="51.13"/>
    <x v="9"/>
    <x v="9"/>
    <s v="Oct 2023"/>
  </r>
  <r>
    <n v="1076"/>
    <x v="103"/>
    <s v="Widget B"/>
    <n v="4"/>
    <x v="1"/>
    <n v="34.26"/>
    <n v="137.03"/>
    <x v="9"/>
    <x v="9"/>
    <s v="Oct 2023"/>
  </r>
  <r>
    <n v="1145"/>
    <x v="104"/>
    <s v="Gadget Z"/>
    <n v="6"/>
    <x v="1"/>
    <n v="72.03"/>
    <n v="432.19"/>
    <x v="9"/>
    <x v="9"/>
    <s v="Oct 2023"/>
  </r>
  <r>
    <n v="1059"/>
    <x v="105"/>
    <s v="Widget B"/>
    <n v="6"/>
    <x v="1"/>
    <n v="32.4"/>
    <n v="194.41"/>
    <x v="9"/>
    <x v="9"/>
    <s v="Oct 2023"/>
  </r>
  <r>
    <n v="1231"/>
    <x v="106"/>
    <s v="Gadget X"/>
    <n v="4"/>
    <x v="3"/>
    <n v="52.9"/>
    <n v="211.62"/>
    <x v="9"/>
    <x v="9"/>
    <s v="Oct 2023"/>
  </r>
  <r>
    <n v="1276"/>
    <x v="107"/>
    <s v="Gadget Z"/>
    <n v="4"/>
    <x v="1"/>
    <n v="64.11"/>
    <n v="256.44"/>
    <x v="10"/>
    <x v="10"/>
    <s v="Nov 2023"/>
  </r>
  <r>
    <n v="1274"/>
    <x v="108"/>
    <s v="Gadget Y"/>
    <n v="4"/>
    <x v="3"/>
    <n v="44.07"/>
    <n v="176.3"/>
    <x v="10"/>
    <x v="10"/>
    <s v="Nov 2023"/>
  </r>
  <r>
    <n v="1034"/>
    <x v="109"/>
    <s v="Gadget Z"/>
    <n v="2"/>
    <x v="0"/>
    <n v="64.77"/>
    <n v="129.53"/>
    <x v="10"/>
    <x v="10"/>
    <s v="Nov 2023"/>
  </r>
  <r>
    <n v="1125"/>
    <x v="110"/>
    <s v="Widget A"/>
    <n v="4"/>
    <x v="3"/>
    <n v="23.47"/>
    <n v="93.88"/>
    <x v="10"/>
    <x v="10"/>
    <s v="Nov 2023"/>
  </r>
  <r>
    <n v="1262"/>
    <x v="111"/>
    <s v="Widget B"/>
    <n v="4"/>
    <x v="0"/>
    <n v="35.69"/>
    <n v="142.76"/>
    <x v="10"/>
    <x v="10"/>
    <s v="Nov 2023"/>
  </r>
  <r>
    <n v="1003"/>
    <x v="112"/>
    <s v="Accessory 2"/>
    <n v="2"/>
    <x v="0"/>
    <n v="11.85"/>
    <n v="23.69"/>
    <x v="10"/>
    <x v="10"/>
    <s v="Nov 2023"/>
  </r>
  <r>
    <n v="1340"/>
    <x v="113"/>
    <s v="Gadget Z"/>
    <n v="5"/>
    <x v="3"/>
    <n v="65.63"/>
    <n v="328.17"/>
    <x v="11"/>
    <x v="11"/>
    <s v="Dec 2023"/>
  </r>
  <r>
    <n v="1164"/>
    <x v="114"/>
    <s v="Gadget X"/>
    <n v="2"/>
    <x v="0"/>
    <n v="59.72"/>
    <n v="119.44"/>
    <x v="11"/>
    <x v="11"/>
    <s v="Dec 2023"/>
  </r>
  <r>
    <n v="1061"/>
    <x v="114"/>
    <s v="Widget C"/>
    <n v="4"/>
    <x v="2"/>
    <n v="14.75"/>
    <n v="59.01"/>
    <x v="11"/>
    <x v="11"/>
    <s v="Dec 2023"/>
  </r>
  <r>
    <n v="1195"/>
    <x v="114"/>
    <s v="Gadget Z"/>
    <n v="2"/>
    <x v="1"/>
    <n v="67.45"/>
    <n v="134.88999999999999"/>
    <x v="11"/>
    <x v="11"/>
    <s v="Dec 2023"/>
  </r>
  <r>
    <n v="1423"/>
    <x v="115"/>
    <s v="Component L"/>
    <n v="3"/>
    <x v="0"/>
    <n v="19.04"/>
    <n v="57.11"/>
    <x v="11"/>
    <x v="11"/>
    <s v="Dec 2023"/>
  </r>
  <r>
    <n v="1328"/>
    <x v="116"/>
    <s v="Widget B"/>
    <n v="4"/>
    <x v="2"/>
    <n v="34.090000000000003"/>
    <n v="136.37"/>
    <x v="11"/>
    <x v="11"/>
    <s v="Dec 2023"/>
  </r>
  <r>
    <n v="1008"/>
    <x v="117"/>
    <s v="Widget C"/>
    <n v="5"/>
    <x v="3"/>
    <n v="16.43"/>
    <n v="82.15"/>
    <x v="11"/>
    <x v="11"/>
    <s v="Dec 2023"/>
  </r>
  <r>
    <n v="1171"/>
    <x v="118"/>
    <s v="Accessory 1"/>
    <n v="6"/>
    <x v="1"/>
    <n v="7.79"/>
    <n v="46.76"/>
    <x v="11"/>
    <x v="11"/>
    <s v="Dec 2023"/>
  </r>
  <r>
    <n v="1442"/>
    <x v="119"/>
    <s v="Gadget X"/>
    <n v="6"/>
    <x v="3"/>
    <n v="61.21"/>
    <n v="367.24"/>
    <x v="11"/>
    <x v="11"/>
    <s v="Dec 2023"/>
  </r>
  <r>
    <n v="1330"/>
    <x v="120"/>
    <s v="Accessory 2"/>
    <n v="2"/>
    <x v="3"/>
    <n v="11.95"/>
    <n v="23.91"/>
    <x v="11"/>
    <x v="11"/>
    <s v="Dec 2023"/>
  </r>
  <r>
    <n v="1465"/>
    <x v="121"/>
    <s v="Widget A"/>
    <n v="4"/>
    <x v="3"/>
    <n v="26.2"/>
    <n v="104.8"/>
    <x v="11"/>
    <x v="11"/>
    <s v="Dec 2023"/>
  </r>
  <r>
    <n v="1296"/>
    <x v="122"/>
    <s v="Widget B"/>
    <n v="2"/>
    <x v="2"/>
    <n v="34.08"/>
    <n v="68.150000000000006"/>
    <x v="12"/>
    <x v="12"/>
    <s v="Jan 2024"/>
  </r>
  <r>
    <n v="1468"/>
    <x v="123"/>
    <s v="Accessory 2"/>
    <n v="1"/>
    <x v="3"/>
    <n v="12.39"/>
    <n v="12.39"/>
    <x v="12"/>
    <x v="12"/>
    <s v="Jan 2024"/>
  </r>
  <r>
    <n v="1497"/>
    <x v="124"/>
    <s v="Accessory 2"/>
    <n v="4"/>
    <x v="2"/>
    <n v="12.62"/>
    <n v="50.49"/>
    <x v="12"/>
    <x v="12"/>
    <s v="Jan 2024"/>
  </r>
  <r>
    <n v="1077"/>
    <x v="125"/>
    <s v="Widget B"/>
    <n v="3"/>
    <x v="0"/>
    <n v="33.869999999999997"/>
    <n v="101.61"/>
    <x v="12"/>
    <x v="12"/>
    <s v="Jan 2024"/>
  </r>
  <r>
    <n v="1067"/>
    <x v="126"/>
    <s v="Gadget X"/>
    <n v="9"/>
    <x v="3"/>
    <n v="55.47"/>
    <n v="499.27"/>
    <x v="12"/>
    <x v="12"/>
    <s v="Jan 2024"/>
  </r>
  <r>
    <n v="1347"/>
    <x v="126"/>
    <s v="Gadget X"/>
    <n v="4"/>
    <x v="3"/>
    <n v="56.58"/>
    <n v="226.33"/>
    <x v="12"/>
    <x v="12"/>
    <s v="Jan 2024"/>
  </r>
  <r>
    <n v="1137"/>
    <x v="127"/>
    <s v="Accessory 2"/>
    <n v="1"/>
    <x v="3"/>
    <n v="11.45"/>
    <n v="11.45"/>
    <x v="12"/>
    <x v="12"/>
    <s v="Jan 2024"/>
  </r>
  <r>
    <n v="1010"/>
    <x v="128"/>
    <s v="Widget A"/>
    <n v="1"/>
    <x v="1"/>
    <n v="23.1"/>
    <n v="23.1"/>
    <x v="12"/>
    <x v="12"/>
    <s v="Jan 2024"/>
  </r>
  <r>
    <n v="1441"/>
    <x v="129"/>
    <s v="Accessory 1"/>
    <n v="2"/>
    <x v="0"/>
    <n v="7.42"/>
    <n v="14.83"/>
    <x v="12"/>
    <x v="12"/>
    <s v="Jan 2024"/>
  </r>
  <r>
    <n v="1032"/>
    <x v="130"/>
    <s v="Widget B"/>
    <n v="5"/>
    <x v="1"/>
    <n v="38.619999999999997"/>
    <n v="193.09"/>
    <x v="12"/>
    <x v="12"/>
    <s v="Jan 2024"/>
  </r>
  <r>
    <n v="1486"/>
    <x v="131"/>
    <s v="Accessory 2"/>
    <n v="4"/>
    <x v="1"/>
    <n v="13.06"/>
    <n v="52.24"/>
    <x v="12"/>
    <x v="12"/>
    <s v="Jan 2024"/>
  </r>
  <r>
    <n v="1074"/>
    <x v="132"/>
    <s v="Gadget Y"/>
    <n v="3"/>
    <x v="1"/>
    <n v="45.67"/>
    <n v="137.01"/>
    <x v="12"/>
    <x v="12"/>
    <s v="Jan 2024"/>
  </r>
  <r>
    <n v="1100"/>
    <x v="133"/>
    <s v="Accessory 2"/>
    <n v="2"/>
    <x v="0"/>
    <n v="11.61"/>
    <n v="23.22"/>
    <x v="12"/>
    <x v="12"/>
    <s v="Jan 2024"/>
  </r>
  <r>
    <n v="1391"/>
    <x v="134"/>
    <s v="Widget B"/>
    <n v="4"/>
    <x v="2"/>
    <n v="31.75"/>
    <n v="127.01"/>
    <x v="12"/>
    <x v="12"/>
    <s v="Jan 2024"/>
  </r>
  <r>
    <n v="1401"/>
    <x v="134"/>
    <s v="Gadget Y"/>
    <n v="2"/>
    <x v="2"/>
    <n v="47.11"/>
    <n v="94.21"/>
    <x v="12"/>
    <x v="12"/>
    <s v="Jan 2024"/>
  </r>
  <r>
    <n v="1388"/>
    <x v="135"/>
    <s v="Widget A"/>
    <n v="1"/>
    <x v="3"/>
    <n v="25.23"/>
    <n v="25.23"/>
    <x v="13"/>
    <x v="13"/>
    <s v="Feb 2024"/>
  </r>
  <r>
    <n v="1351"/>
    <x v="135"/>
    <s v="Widget C"/>
    <n v="8"/>
    <x v="1"/>
    <n v="14.19"/>
    <n v="113.55"/>
    <x v="13"/>
    <x v="13"/>
    <s v="Feb 2024"/>
  </r>
  <r>
    <n v="1200"/>
    <x v="136"/>
    <s v="Widget C"/>
    <n v="5"/>
    <x v="3"/>
    <n v="13.99"/>
    <n v="69.95"/>
    <x v="13"/>
    <x v="13"/>
    <s v="Feb 2024"/>
  </r>
  <r>
    <n v="1407"/>
    <x v="136"/>
    <s v="Accessory 2"/>
    <n v="3"/>
    <x v="1"/>
    <n v="11.78"/>
    <n v="35.35"/>
    <x v="13"/>
    <x v="13"/>
    <s v="Feb 2024"/>
  </r>
  <r>
    <n v="1097"/>
    <x v="136"/>
    <s v="Gadget Z"/>
    <n v="3"/>
    <x v="3"/>
    <n v="62.89"/>
    <n v="188.66"/>
    <x v="13"/>
    <x v="13"/>
    <s v="Feb 2024"/>
  </r>
  <r>
    <n v="1264"/>
    <x v="137"/>
    <s v="Widget B"/>
    <n v="2"/>
    <x v="3"/>
    <n v="34.31"/>
    <n v="68.62"/>
    <x v="13"/>
    <x v="13"/>
    <s v="Feb 2024"/>
  </r>
  <r>
    <n v="1143"/>
    <x v="138"/>
    <s v="Accessory 1"/>
    <n v="5"/>
    <x v="2"/>
    <n v="7.92"/>
    <n v="39.590000000000003"/>
    <x v="13"/>
    <x v="13"/>
    <s v="Feb 2024"/>
  </r>
  <r>
    <n v="1202"/>
    <x v="138"/>
    <s v="Component M"/>
    <n v="2"/>
    <x v="2"/>
    <n v="20.350000000000001"/>
    <n v="40.700000000000003"/>
    <x v="13"/>
    <x v="13"/>
    <s v="Feb 2024"/>
  </r>
  <r>
    <n v="1050"/>
    <x v="139"/>
    <s v="Accessory 1"/>
    <n v="3"/>
    <x v="1"/>
    <n v="8.48"/>
    <n v="25.45"/>
    <x v="13"/>
    <x v="13"/>
    <s v="Feb 2024"/>
  </r>
  <r>
    <n v="1158"/>
    <x v="140"/>
    <s v="Gadget Z"/>
    <n v="5"/>
    <x v="1"/>
    <n v="64.47"/>
    <n v="322.33999999999997"/>
    <x v="13"/>
    <x v="13"/>
    <s v="Feb 2024"/>
  </r>
  <r>
    <n v="1183"/>
    <x v="141"/>
    <s v="Widget B"/>
    <n v="4"/>
    <x v="1"/>
    <n v="34.83"/>
    <n v="139.33000000000001"/>
    <x v="13"/>
    <x v="13"/>
    <s v="Feb 2024"/>
  </r>
  <r>
    <n v="1086"/>
    <x v="142"/>
    <s v="Gadget Z"/>
    <n v="1"/>
    <x v="0"/>
    <n v="64"/>
    <n v="64"/>
    <x v="13"/>
    <x v="13"/>
    <s v="Feb 2024"/>
  </r>
  <r>
    <n v="1255"/>
    <x v="143"/>
    <s v="Gadget Y"/>
    <n v="5"/>
    <x v="3"/>
    <n v="42.88"/>
    <n v="214.42"/>
    <x v="13"/>
    <x v="13"/>
    <s v="Feb 2024"/>
  </r>
  <r>
    <n v="1367"/>
    <x v="144"/>
    <s v="Accessory 2"/>
    <n v="2"/>
    <x v="2"/>
    <n v="11.53"/>
    <n v="23.07"/>
    <x v="13"/>
    <x v="13"/>
    <s v="Feb 2024"/>
  </r>
  <r>
    <n v="1363"/>
    <x v="145"/>
    <s v="Gadget X"/>
    <n v="2"/>
    <x v="3"/>
    <n v="56.15"/>
    <n v="112.3"/>
    <x v="13"/>
    <x v="13"/>
    <s v="Feb 2024"/>
  </r>
  <r>
    <n v="1075"/>
    <x v="146"/>
    <s v="Gadget X"/>
    <n v="6"/>
    <x v="0"/>
    <n v="56.71"/>
    <n v="340.28"/>
    <x v="13"/>
    <x v="13"/>
    <s v="Feb 2024"/>
  </r>
  <r>
    <n v="1327"/>
    <x v="147"/>
    <s v="Accessory 1"/>
    <n v="3"/>
    <x v="0"/>
    <n v="7.39"/>
    <n v="22.17"/>
    <x v="14"/>
    <x v="14"/>
    <s v="Mar 2024"/>
  </r>
  <r>
    <n v="1212"/>
    <x v="148"/>
    <s v="Widget A"/>
    <n v="6"/>
    <x v="0"/>
    <n v="25.72"/>
    <n v="154.34"/>
    <x v="14"/>
    <x v="14"/>
    <s v="Mar 2024"/>
  </r>
  <r>
    <n v="1335"/>
    <x v="149"/>
    <s v="Accessory 1"/>
    <n v="4"/>
    <x v="0"/>
    <n v="8.08"/>
    <n v="32.33"/>
    <x v="14"/>
    <x v="14"/>
    <s v="Mar 2024"/>
  </r>
  <r>
    <n v="1128"/>
    <x v="149"/>
    <s v="Gadget Y"/>
    <n v="6"/>
    <x v="0"/>
    <n v="50.66"/>
    <n v="303.95999999999998"/>
    <x v="14"/>
    <x v="14"/>
    <s v="Mar 2024"/>
  </r>
  <r>
    <n v="1280"/>
    <x v="150"/>
    <s v="Gadget Z"/>
    <n v="3"/>
    <x v="3"/>
    <n v="68.42"/>
    <n v="205.27"/>
    <x v="14"/>
    <x v="14"/>
    <s v="Mar 2024"/>
  </r>
  <r>
    <n v="1392"/>
    <x v="151"/>
    <s v="Widget B"/>
    <n v="4"/>
    <x v="0"/>
    <n v="34.17"/>
    <n v="136.69"/>
    <x v="14"/>
    <x v="14"/>
    <s v="Mar 2024"/>
  </r>
  <r>
    <n v="1427"/>
    <x v="151"/>
    <s v="Widget A"/>
    <n v="5"/>
    <x v="2"/>
    <n v="25.08"/>
    <n v="125.38"/>
    <x v="14"/>
    <x v="14"/>
    <s v="Mar 2024"/>
  </r>
  <r>
    <n v="1490"/>
    <x v="152"/>
    <s v="Gadget X"/>
    <n v="2"/>
    <x v="3"/>
    <n v="60.93"/>
    <n v="121.85"/>
    <x v="14"/>
    <x v="14"/>
    <s v="Mar 2024"/>
  </r>
  <r>
    <n v="1178"/>
    <x v="153"/>
    <s v="Gadget Z"/>
    <n v="4"/>
    <x v="0"/>
    <n v="75.209999999999994"/>
    <n v="300.85000000000002"/>
    <x v="14"/>
    <x v="14"/>
    <s v="Mar 2024"/>
  </r>
  <r>
    <n v="1323"/>
    <x v="153"/>
    <s v="Widget B"/>
    <n v="3"/>
    <x v="1"/>
    <n v="35.92"/>
    <n v="107.77"/>
    <x v="14"/>
    <x v="14"/>
    <s v="Mar 2024"/>
  </r>
  <r>
    <n v="1219"/>
    <x v="153"/>
    <s v="Gadget Y"/>
    <n v="1"/>
    <x v="0"/>
    <n v="43.97"/>
    <n v="43.97"/>
    <x v="14"/>
    <x v="14"/>
    <s v="Mar 2024"/>
  </r>
  <r>
    <n v="1395"/>
    <x v="154"/>
    <s v="Component L"/>
    <n v="2"/>
    <x v="2"/>
    <n v="17.579999999999998"/>
    <n v="35.15"/>
    <x v="14"/>
    <x v="14"/>
    <s v="Mar 2024"/>
  </r>
  <r>
    <n v="1057"/>
    <x v="155"/>
    <s v="Widget B"/>
    <n v="2"/>
    <x v="3"/>
    <n v="32.32"/>
    <n v="64.650000000000006"/>
    <x v="14"/>
    <x v="14"/>
    <s v="Mar 2024"/>
  </r>
  <r>
    <n v="1437"/>
    <x v="155"/>
    <s v="Component L"/>
    <n v="8"/>
    <x v="1"/>
    <n v="19.190000000000001"/>
    <n v="153.47999999999999"/>
    <x v="14"/>
    <x v="14"/>
    <s v="Mar 2024"/>
  </r>
  <r>
    <n v="1372"/>
    <x v="156"/>
    <s v="Accessory 2"/>
    <n v="5"/>
    <x v="1"/>
    <n v="13.03"/>
    <n v="65.16"/>
    <x v="15"/>
    <x v="15"/>
    <s v="Apr 2024"/>
  </r>
  <r>
    <n v="1205"/>
    <x v="157"/>
    <s v="Accessory 1"/>
    <n v="1"/>
    <x v="0"/>
    <n v="7.88"/>
    <n v="7.88"/>
    <x v="15"/>
    <x v="15"/>
    <s v="Apr 2024"/>
  </r>
  <r>
    <n v="1013"/>
    <x v="157"/>
    <s v="Gadget Y"/>
    <n v="6"/>
    <x v="3"/>
    <n v="42.95"/>
    <n v="257.69"/>
    <x v="15"/>
    <x v="15"/>
    <s v="Apr 2024"/>
  </r>
  <r>
    <n v="1481"/>
    <x v="158"/>
    <s v="Component L"/>
    <n v="5"/>
    <x v="0"/>
    <n v="18.190000000000001"/>
    <n v="90.95"/>
    <x v="15"/>
    <x v="15"/>
    <s v="Apr 2024"/>
  </r>
  <r>
    <n v="1154"/>
    <x v="159"/>
    <s v="Widget C"/>
    <n v="2"/>
    <x v="0"/>
    <n v="14.85"/>
    <n v="29.7"/>
    <x v="15"/>
    <x v="15"/>
    <s v="Apr 2024"/>
  </r>
  <r>
    <n v="1002"/>
    <x v="160"/>
    <s v="Gadget X"/>
    <n v="3"/>
    <x v="2"/>
    <n v="55.92"/>
    <n v="167.75"/>
    <x v="15"/>
    <x v="15"/>
    <s v="Apr 2024"/>
  </r>
  <r>
    <n v="1207"/>
    <x v="161"/>
    <s v="Accessory 2"/>
    <n v="3"/>
    <x v="0"/>
    <n v="12.46"/>
    <n v="37.380000000000003"/>
    <x v="15"/>
    <x v="15"/>
    <s v="Apr 2024"/>
  </r>
  <r>
    <n v="1460"/>
    <x v="162"/>
    <s v="Gadget X"/>
    <n v="4"/>
    <x v="1"/>
    <n v="55.7"/>
    <n v="222.79"/>
    <x v="15"/>
    <x v="15"/>
    <s v="Apr 2024"/>
  </r>
  <r>
    <n v="1267"/>
    <x v="162"/>
    <s v="Gadget Z"/>
    <n v="2"/>
    <x v="1"/>
    <n v="63.9"/>
    <n v="127.8"/>
    <x v="15"/>
    <x v="15"/>
    <s v="Apr 2024"/>
  </r>
  <r>
    <n v="1167"/>
    <x v="163"/>
    <s v="Gadget Z"/>
    <n v="3"/>
    <x v="3"/>
    <n v="65.95"/>
    <n v="197.86"/>
    <x v="15"/>
    <x v="15"/>
    <s v="Apr 2024"/>
  </r>
  <r>
    <n v="1326"/>
    <x v="164"/>
    <s v="Widget A"/>
    <n v="5"/>
    <x v="2"/>
    <n v="24.92"/>
    <n v="124.6"/>
    <x v="15"/>
    <x v="15"/>
    <s v="Apr 2024"/>
  </r>
  <r>
    <n v="1018"/>
    <x v="165"/>
    <s v="Widget A"/>
    <n v="1"/>
    <x v="1"/>
    <n v="25.22"/>
    <n v="25.22"/>
    <x v="15"/>
    <x v="15"/>
    <s v="Apr 2024"/>
  </r>
  <r>
    <n v="1436"/>
    <x v="166"/>
    <s v="Gadget Y"/>
    <n v="1"/>
    <x v="0"/>
    <n v="43.15"/>
    <n v="43.15"/>
    <x v="15"/>
    <x v="15"/>
    <s v="Apr 2024"/>
  </r>
  <r>
    <n v="1226"/>
    <x v="167"/>
    <s v="Gadget Y"/>
    <n v="2"/>
    <x v="0"/>
    <n v="47.14"/>
    <n v="94.28"/>
    <x v="15"/>
    <x v="15"/>
    <s v="Apr 2024"/>
  </r>
  <r>
    <n v="1108"/>
    <x v="168"/>
    <s v="Component L"/>
    <n v="2"/>
    <x v="0"/>
    <n v="18.46"/>
    <n v="36.909999999999997"/>
    <x v="15"/>
    <x v="15"/>
    <s v="Apr 2024"/>
  </r>
  <r>
    <n v="1309"/>
    <x v="169"/>
    <s v="Component M"/>
    <n v="4"/>
    <x v="3"/>
    <n v="22.46"/>
    <n v="89.85"/>
    <x v="16"/>
    <x v="16"/>
    <s v="May 2024"/>
  </r>
  <r>
    <n v="1161"/>
    <x v="170"/>
    <s v="Widget B"/>
    <n v="2"/>
    <x v="3"/>
    <n v="36.909999999999997"/>
    <n v="73.81"/>
    <x v="16"/>
    <x v="16"/>
    <s v="May 2024"/>
  </r>
  <r>
    <n v="1249"/>
    <x v="171"/>
    <s v="Component L"/>
    <n v="3"/>
    <x v="1"/>
    <n v="16.079999999999998"/>
    <n v="48.25"/>
    <x v="16"/>
    <x v="16"/>
    <s v="May 2024"/>
  </r>
  <r>
    <n v="1416"/>
    <x v="172"/>
    <s v="Accessory 2"/>
    <n v="7"/>
    <x v="0"/>
    <n v="11.48"/>
    <n v="80.39"/>
    <x v="16"/>
    <x v="16"/>
    <s v="May 2024"/>
  </r>
  <r>
    <n v="1068"/>
    <x v="173"/>
    <s v="Widget A"/>
    <n v="3"/>
    <x v="3"/>
    <n v="26.7"/>
    <n v="80.11"/>
    <x v="16"/>
    <x v="16"/>
    <s v="May 2024"/>
  </r>
  <r>
    <n v="1230"/>
    <x v="174"/>
    <s v="Gadget Y"/>
    <n v="4"/>
    <x v="1"/>
    <n v="41.88"/>
    <n v="167.51"/>
    <x v="16"/>
    <x v="16"/>
    <s v="May 2024"/>
  </r>
  <r>
    <n v="1342"/>
    <x v="174"/>
    <s v="Accessory 1"/>
    <n v="2"/>
    <x v="2"/>
    <n v="8.3000000000000007"/>
    <n v="16.61"/>
    <x v="16"/>
    <x v="16"/>
    <s v="May 2024"/>
  </r>
  <r>
    <n v="1353"/>
    <x v="175"/>
    <s v="Component L"/>
    <n v="3"/>
    <x v="1"/>
    <n v="16.66"/>
    <n v="49.99"/>
    <x v="16"/>
    <x v="16"/>
    <s v="May 2024"/>
  </r>
  <r>
    <n v="1424"/>
    <x v="176"/>
    <s v="Component M"/>
    <n v="6"/>
    <x v="1"/>
    <n v="22.93"/>
    <n v="137.6"/>
    <x v="16"/>
    <x v="16"/>
    <s v="May 2024"/>
  </r>
  <r>
    <n v="1478"/>
    <x v="177"/>
    <s v="Accessory 2"/>
    <n v="3"/>
    <x v="2"/>
    <n v="11.93"/>
    <n v="35.799999999999997"/>
    <x v="16"/>
    <x v="16"/>
    <s v="May 2024"/>
  </r>
  <r>
    <n v="1095"/>
    <x v="178"/>
    <s v="Accessory 1"/>
    <n v="3"/>
    <x v="2"/>
    <n v="8.4"/>
    <n v="25.2"/>
    <x v="16"/>
    <x v="16"/>
    <s v="May 2024"/>
  </r>
  <r>
    <n v="1085"/>
    <x v="178"/>
    <s v="Gadget Z"/>
    <n v="2"/>
    <x v="1"/>
    <n v="72.48"/>
    <n v="144.97"/>
    <x v="16"/>
    <x v="16"/>
    <s v="May 2024"/>
  </r>
  <r>
    <n v="1444"/>
    <x v="179"/>
    <s v="Gadget X"/>
    <n v="2"/>
    <x v="1"/>
    <n v="57.15"/>
    <n v="114.31"/>
    <x v="16"/>
    <x v="16"/>
    <s v="May 2024"/>
  </r>
  <r>
    <n v="1042"/>
    <x v="180"/>
    <s v="Accessory 2"/>
    <n v="5"/>
    <x v="0"/>
    <n v="13.02"/>
    <n v="65.12"/>
    <x v="16"/>
    <x v="16"/>
    <s v="May 2024"/>
  </r>
  <r>
    <n v="1190"/>
    <x v="181"/>
    <s v="Gadget Z"/>
    <n v="5"/>
    <x v="2"/>
    <n v="67.25"/>
    <n v="336.26"/>
    <x v="16"/>
    <x v="16"/>
    <s v="May 2024"/>
  </r>
  <r>
    <n v="1425"/>
    <x v="182"/>
    <s v="Component M"/>
    <n v="6"/>
    <x v="0"/>
    <n v="23.95"/>
    <n v="143.69999999999999"/>
    <x v="16"/>
    <x v="16"/>
    <s v="May 2024"/>
  </r>
  <r>
    <n v="1019"/>
    <x v="182"/>
    <s v="Component M"/>
    <n v="5"/>
    <x v="2"/>
    <n v="22.04"/>
    <n v="110.2"/>
    <x v="16"/>
    <x v="16"/>
    <s v="May 2024"/>
  </r>
  <r>
    <n v="1263"/>
    <x v="183"/>
    <s v="Widget A"/>
    <n v="1"/>
    <x v="2"/>
    <n v="23.91"/>
    <n v="23.91"/>
    <x v="16"/>
    <x v="16"/>
    <s v="May 2024"/>
  </r>
  <r>
    <n v="1306"/>
    <x v="184"/>
    <s v="Widget A"/>
    <n v="6"/>
    <x v="0"/>
    <n v="23.61"/>
    <n v="141.68"/>
    <x v="16"/>
    <x v="16"/>
    <s v="May 2024"/>
  </r>
  <r>
    <n v="1338"/>
    <x v="185"/>
    <s v="Gadget Z"/>
    <n v="5"/>
    <x v="3"/>
    <n v="63.4"/>
    <n v="317"/>
    <x v="16"/>
    <x v="16"/>
    <s v="May 2024"/>
  </r>
  <r>
    <n v="1227"/>
    <x v="186"/>
    <s v="Component M"/>
    <n v="6"/>
    <x v="0"/>
    <n v="22.47"/>
    <n v="134.81"/>
    <x v="17"/>
    <x v="17"/>
    <s v="Jun 2024"/>
  </r>
  <r>
    <n v="1071"/>
    <x v="187"/>
    <s v="Accessory 2"/>
    <n v="6"/>
    <x v="3"/>
    <n v="12.61"/>
    <n v="75.66"/>
    <x v="17"/>
    <x v="17"/>
    <s v="Jun 2024"/>
  </r>
  <r>
    <n v="1332"/>
    <x v="188"/>
    <s v="Gadget Z"/>
    <n v="4"/>
    <x v="1"/>
    <n v="64.33"/>
    <n v="257.3"/>
    <x v="17"/>
    <x v="17"/>
    <s v="Jun 2024"/>
  </r>
  <r>
    <n v="1112"/>
    <x v="189"/>
    <s v="Component L"/>
    <n v="9"/>
    <x v="1"/>
    <n v="17.66"/>
    <n v="158.94"/>
    <x v="17"/>
    <x v="17"/>
    <s v="Jun 2024"/>
  </r>
  <r>
    <n v="1256"/>
    <x v="189"/>
    <s v="Accessory 2"/>
    <n v="2"/>
    <x v="3"/>
    <n v="12.6"/>
    <n v="25.2"/>
    <x v="17"/>
    <x v="17"/>
    <s v="Jun 2024"/>
  </r>
  <r>
    <n v="1253"/>
    <x v="190"/>
    <s v="Gadget Y"/>
    <n v="4"/>
    <x v="2"/>
    <n v="43.2"/>
    <n v="172.81"/>
    <x v="17"/>
    <x v="17"/>
    <s v="Jun 2024"/>
  </r>
  <r>
    <n v="1473"/>
    <x v="191"/>
    <s v="Accessory 2"/>
    <n v="5"/>
    <x v="0"/>
    <n v="13.75"/>
    <n v="68.77"/>
    <x v="17"/>
    <x v="17"/>
    <s v="Jun 2024"/>
  </r>
  <r>
    <n v="1111"/>
    <x v="192"/>
    <s v="Gadget Y"/>
    <n v="4"/>
    <x v="3"/>
    <n v="45.09"/>
    <n v="180.35"/>
    <x v="17"/>
    <x v="17"/>
    <s v="Jun 2024"/>
  </r>
  <r>
    <n v="1223"/>
    <x v="193"/>
    <s v="Widget A"/>
    <n v="2"/>
    <x v="3"/>
    <n v="22.82"/>
    <n v="45.65"/>
    <x v="17"/>
    <x v="17"/>
    <s v="Jun 2024"/>
  </r>
  <r>
    <n v="1329"/>
    <x v="194"/>
    <s v="Gadget Y"/>
    <n v="4"/>
    <x v="0"/>
    <n v="45.54"/>
    <n v="182.17"/>
    <x v="18"/>
    <x v="18"/>
    <s v="Jul 2024"/>
  </r>
  <r>
    <n v="1163"/>
    <x v="194"/>
    <s v="Gadget X"/>
    <n v="2"/>
    <x v="2"/>
    <n v="53.69"/>
    <n v="107.37"/>
    <x v="18"/>
    <x v="18"/>
    <s v="Jul 2024"/>
  </r>
  <r>
    <n v="1115"/>
    <x v="195"/>
    <s v="Accessory 2"/>
    <n v="5"/>
    <x v="2"/>
    <n v="12.36"/>
    <n v="61.78"/>
    <x v="18"/>
    <x v="18"/>
    <s v="Jul 2024"/>
  </r>
  <r>
    <n v="1308"/>
    <x v="196"/>
    <s v="Widget C"/>
    <n v="3"/>
    <x v="3"/>
    <n v="15.19"/>
    <n v="45.56"/>
    <x v="18"/>
    <x v="18"/>
    <s v="Jul 2024"/>
  </r>
  <r>
    <n v="1026"/>
    <x v="197"/>
    <s v="Component L"/>
    <n v="5"/>
    <x v="3"/>
    <n v="17.989999999999998"/>
    <n v="89.95"/>
    <x v="18"/>
    <x v="18"/>
    <s v="Jul 2024"/>
  </r>
  <r>
    <n v="1211"/>
    <x v="197"/>
    <s v="Accessory 1"/>
    <n v="4"/>
    <x v="0"/>
    <n v="8.56"/>
    <n v="34.24"/>
    <x v="18"/>
    <x v="18"/>
    <s v="Jul 2024"/>
  </r>
  <r>
    <n v="1105"/>
    <x v="198"/>
    <s v="Widget B"/>
    <n v="6"/>
    <x v="1"/>
    <n v="39.29"/>
    <n v="235.77"/>
    <x v="18"/>
    <x v="18"/>
    <s v="Jul 2024"/>
  </r>
  <r>
    <n v="1129"/>
    <x v="198"/>
    <s v="Accessory 1"/>
    <n v="2"/>
    <x v="1"/>
    <n v="7.34"/>
    <n v="14.67"/>
    <x v="18"/>
    <x v="18"/>
    <s v="Jul 2024"/>
  </r>
  <r>
    <n v="1038"/>
    <x v="199"/>
    <s v="Gadget Z"/>
    <n v="7"/>
    <x v="2"/>
    <n v="67.41"/>
    <n v="471.89"/>
    <x v="18"/>
    <x v="18"/>
    <s v="Jul 2024"/>
  </r>
  <r>
    <n v="1242"/>
    <x v="200"/>
    <s v="Widget C"/>
    <n v="2"/>
    <x v="3"/>
    <n v="15.13"/>
    <n v="30.26"/>
    <x v="18"/>
    <x v="18"/>
    <s v="Jul 2024"/>
  </r>
  <r>
    <n v="1048"/>
    <x v="200"/>
    <s v="Widget C"/>
    <n v="5"/>
    <x v="1"/>
    <n v="14.8"/>
    <n v="73.989999999999995"/>
    <x v="18"/>
    <x v="18"/>
    <s v="Jul 2024"/>
  </r>
  <r>
    <n v="1404"/>
    <x v="201"/>
    <s v="Component M"/>
    <n v="7"/>
    <x v="0"/>
    <n v="22.2"/>
    <n v="155.41999999999999"/>
    <x v="18"/>
    <x v="18"/>
    <s v="Jul 2024"/>
  </r>
  <r>
    <n v="1243"/>
    <x v="202"/>
    <s v="Gadget X"/>
    <n v="4"/>
    <x v="0"/>
    <n v="55.68"/>
    <n v="222.7"/>
    <x v="18"/>
    <x v="18"/>
    <s v="Jul 2024"/>
  </r>
  <r>
    <n v="1275"/>
    <x v="202"/>
    <s v="Gadget Y"/>
    <n v="4"/>
    <x v="3"/>
    <n v="46.19"/>
    <n v="184.76"/>
    <x v="18"/>
    <x v="18"/>
    <s v="Jul 2024"/>
  </r>
  <r>
    <n v="1272"/>
    <x v="203"/>
    <s v="Widget C"/>
    <n v="4"/>
    <x v="0"/>
    <n v="15.23"/>
    <n v="60.91"/>
    <x v="18"/>
    <x v="18"/>
    <s v="Jul 2024"/>
  </r>
  <r>
    <n v="1113"/>
    <x v="204"/>
    <s v="Component L"/>
    <n v="2"/>
    <x v="0"/>
    <n v="18.489999999999998"/>
    <n v="36.979999999999997"/>
    <x v="18"/>
    <x v="18"/>
    <s v="Jul 2024"/>
  </r>
  <r>
    <n v="1312"/>
    <x v="205"/>
    <s v="Component M"/>
    <n v="5"/>
    <x v="3"/>
    <n v="21.75"/>
    <n v="108.77"/>
    <x v="19"/>
    <x v="19"/>
    <s v="Aug 2024"/>
  </r>
  <r>
    <n v="1187"/>
    <x v="206"/>
    <s v="Component M"/>
    <n v="3"/>
    <x v="3"/>
    <n v="22.58"/>
    <n v="67.739999999999995"/>
    <x v="19"/>
    <x v="19"/>
    <s v="Aug 2024"/>
  </r>
  <r>
    <n v="1413"/>
    <x v="207"/>
    <s v="Gadget X"/>
    <n v="4"/>
    <x v="2"/>
    <n v="54.55"/>
    <n v="218.19"/>
    <x v="19"/>
    <x v="19"/>
    <s v="Aug 2024"/>
  </r>
  <r>
    <n v="1073"/>
    <x v="208"/>
    <s v="Component L"/>
    <n v="5"/>
    <x v="2"/>
    <n v="16.79"/>
    <n v="83.96"/>
    <x v="19"/>
    <x v="19"/>
    <s v="Aug 2024"/>
  </r>
  <r>
    <n v="1386"/>
    <x v="209"/>
    <s v="Gadget Z"/>
    <n v="1"/>
    <x v="3"/>
    <n v="64.599999999999994"/>
    <n v="64.599999999999994"/>
    <x v="19"/>
    <x v="19"/>
    <s v="Aug 2024"/>
  </r>
  <r>
    <n v="1033"/>
    <x v="210"/>
    <s v="Accessory 1"/>
    <n v="4"/>
    <x v="2"/>
    <n v="7.22"/>
    <n v="28.89"/>
    <x v="19"/>
    <x v="19"/>
    <s v="Aug 2024"/>
  </r>
  <r>
    <n v="1360"/>
    <x v="211"/>
    <s v="Gadget Y"/>
    <n v="4"/>
    <x v="1"/>
    <n v="45.24"/>
    <n v="180.96"/>
    <x v="19"/>
    <x v="19"/>
    <s v="Aug 2024"/>
  </r>
  <r>
    <n v="1233"/>
    <x v="212"/>
    <s v="Gadget Z"/>
    <n v="5"/>
    <x v="1"/>
    <n v="66.73"/>
    <n v="333.66"/>
    <x v="19"/>
    <x v="19"/>
    <s v="Aug 2024"/>
  </r>
  <r>
    <n v="1152"/>
    <x v="213"/>
    <s v="Widget B"/>
    <n v="4"/>
    <x v="3"/>
    <n v="34.17"/>
    <n v="136.66999999999999"/>
    <x v="19"/>
    <x v="19"/>
    <s v="Aug 2024"/>
  </r>
  <r>
    <n v="1281"/>
    <x v="214"/>
    <s v="Widget A"/>
    <n v="4"/>
    <x v="2"/>
    <n v="27.54"/>
    <n v="110.17"/>
    <x v="20"/>
    <x v="20"/>
    <s v="Sep 2024"/>
  </r>
  <r>
    <n v="1092"/>
    <x v="214"/>
    <s v="Gadget Z"/>
    <n v="5"/>
    <x v="2"/>
    <n v="62.22"/>
    <n v="311.08999999999997"/>
    <x v="20"/>
    <x v="20"/>
    <s v="Sep 2024"/>
  </r>
  <r>
    <n v="1365"/>
    <x v="215"/>
    <s v="Accessory 2"/>
    <n v="4"/>
    <x v="0"/>
    <n v="11.73"/>
    <n v="46.94"/>
    <x v="20"/>
    <x v="20"/>
    <s v="Sep 2024"/>
  </r>
  <r>
    <n v="1172"/>
    <x v="216"/>
    <s v="Accessory 1"/>
    <n v="6"/>
    <x v="1"/>
    <n v="7.35"/>
    <n v="44.13"/>
    <x v="20"/>
    <x v="20"/>
    <s v="Sep 2024"/>
  </r>
  <r>
    <n v="1245"/>
    <x v="217"/>
    <s v="Gadget X"/>
    <n v="3"/>
    <x v="3"/>
    <n v="56.58"/>
    <n v="169.74"/>
    <x v="20"/>
    <x v="20"/>
    <s v="Sep 2024"/>
  </r>
  <r>
    <n v="1186"/>
    <x v="218"/>
    <s v="Accessory 1"/>
    <n v="3"/>
    <x v="2"/>
    <n v="7.77"/>
    <n v="23.32"/>
    <x v="20"/>
    <x v="20"/>
    <s v="Sep 2024"/>
  </r>
  <r>
    <n v="1121"/>
    <x v="218"/>
    <s v="Accessory 1"/>
    <n v="4"/>
    <x v="2"/>
    <n v="8.27"/>
    <n v="33.08"/>
    <x v="20"/>
    <x v="20"/>
    <s v="Sep 2024"/>
  </r>
  <r>
    <n v="1120"/>
    <x v="219"/>
    <s v="Accessory 2"/>
    <n v="4"/>
    <x v="3"/>
    <n v="12.46"/>
    <n v="49.85"/>
    <x v="20"/>
    <x v="20"/>
    <s v="Sep 2024"/>
  </r>
  <r>
    <n v="1421"/>
    <x v="220"/>
    <s v="Component M"/>
    <n v="4"/>
    <x v="2"/>
    <n v="21.2"/>
    <n v="84.81"/>
    <x v="20"/>
    <x v="20"/>
    <s v="Sep 2024"/>
  </r>
  <r>
    <n v="1305"/>
    <x v="220"/>
    <s v="Widget B"/>
    <n v="4"/>
    <x v="1"/>
    <n v="35.979999999999997"/>
    <n v="143.91"/>
    <x v="20"/>
    <x v="20"/>
    <s v="Sep 2024"/>
  </r>
  <r>
    <n v="1408"/>
    <x v="220"/>
    <s v="Component M"/>
    <n v="7"/>
    <x v="0"/>
    <n v="19.329999999999998"/>
    <n v="135.33000000000001"/>
    <x v="20"/>
    <x v="20"/>
    <s v="Sep 2024"/>
  </r>
  <r>
    <n v="1297"/>
    <x v="221"/>
    <s v="Gadget Y"/>
    <n v="2"/>
    <x v="3"/>
    <n v="43.85"/>
    <n v="87.69"/>
    <x v="20"/>
    <x v="20"/>
    <s v="Sep 2024"/>
  </r>
  <r>
    <n v="1203"/>
    <x v="222"/>
    <s v="Gadget Z"/>
    <n v="5"/>
    <x v="1"/>
    <n v="60.68"/>
    <n v="303.39"/>
    <x v="21"/>
    <x v="21"/>
    <s v="Oct 2024"/>
  </r>
  <r>
    <n v="1166"/>
    <x v="223"/>
    <s v="Accessory 1"/>
    <n v="4"/>
    <x v="3"/>
    <n v="7.15"/>
    <n v="28.61"/>
    <x v="21"/>
    <x v="21"/>
    <s v="Oct 2024"/>
  </r>
  <r>
    <n v="1134"/>
    <x v="224"/>
    <s v="Gadget X"/>
    <n v="3"/>
    <x v="3"/>
    <n v="51"/>
    <n v="153.01"/>
    <x v="21"/>
    <x v="21"/>
    <s v="Oct 2024"/>
  </r>
  <r>
    <n v="1093"/>
    <x v="225"/>
    <s v="Gadget X"/>
    <n v="5"/>
    <x v="0"/>
    <n v="62.54"/>
    <n v="312.7"/>
    <x v="21"/>
    <x v="21"/>
    <s v="Oct 2024"/>
  </r>
  <r>
    <n v="1117"/>
    <x v="226"/>
    <s v="Accessory 2"/>
    <n v="3"/>
    <x v="2"/>
    <n v="12.21"/>
    <n v="36.619999999999997"/>
    <x v="21"/>
    <x v="21"/>
    <s v="Oct 2024"/>
  </r>
  <r>
    <n v="1028"/>
    <x v="227"/>
    <s v="Gadget X"/>
    <n v="3"/>
    <x v="3"/>
    <n v="57.19"/>
    <n v="171.58"/>
    <x v="21"/>
    <x v="21"/>
    <s v="Oct 2024"/>
  </r>
  <r>
    <n v="1072"/>
    <x v="228"/>
    <s v="Widget A"/>
    <n v="4"/>
    <x v="1"/>
    <n v="24.92"/>
    <n v="99.68"/>
    <x v="21"/>
    <x v="21"/>
    <s v="Oct 2024"/>
  </r>
  <r>
    <n v="1124"/>
    <x v="229"/>
    <s v="Widget C"/>
    <n v="5"/>
    <x v="1"/>
    <n v="14.92"/>
    <n v="74.58"/>
    <x v="21"/>
    <x v="21"/>
    <s v="Oct 2024"/>
  </r>
  <r>
    <n v="1434"/>
    <x v="230"/>
    <s v="Gadget Y"/>
    <n v="6"/>
    <x v="3"/>
    <n v="46.85"/>
    <n v="281.11"/>
    <x v="21"/>
    <x v="21"/>
    <s v="Oct 2024"/>
  </r>
  <r>
    <n v="1265"/>
    <x v="231"/>
    <s v="Component L"/>
    <n v="6"/>
    <x v="0"/>
    <n v="17.63"/>
    <n v="105.78"/>
    <x v="21"/>
    <x v="21"/>
    <s v="Oct 2024"/>
  </r>
  <r>
    <n v="1294"/>
    <x v="232"/>
    <s v="Widget A"/>
    <n v="6"/>
    <x v="1"/>
    <n v="23.4"/>
    <n v="140.38"/>
    <x v="21"/>
    <x v="21"/>
    <s v="Oct 2024"/>
  </r>
  <r>
    <n v="1459"/>
    <x v="232"/>
    <s v="Gadget Y"/>
    <n v="4"/>
    <x v="2"/>
    <n v="45.53"/>
    <n v="182.13"/>
    <x v="21"/>
    <x v="21"/>
    <s v="Oct 2024"/>
  </r>
  <r>
    <n v="1298"/>
    <x v="233"/>
    <s v="Accessory 2"/>
    <n v="4"/>
    <x v="1"/>
    <n v="10.34"/>
    <n v="41.38"/>
    <x v="21"/>
    <x v="21"/>
    <s v="Oct 2024"/>
  </r>
  <r>
    <n v="1411"/>
    <x v="234"/>
    <s v="Gadget X"/>
    <n v="6"/>
    <x v="1"/>
    <n v="55.9"/>
    <n v="335.4"/>
    <x v="21"/>
    <x v="21"/>
    <s v="Oct 2024"/>
  </r>
  <r>
    <n v="1222"/>
    <x v="235"/>
    <s v="Accessory 1"/>
    <n v="4"/>
    <x v="3"/>
    <n v="7.76"/>
    <n v="31.04"/>
    <x v="21"/>
    <x v="21"/>
    <s v="Oct 2024"/>
  </r>
  <r>
    <n v="1155"/>
    <x v="236"/>
    <s v="Accessory 1"/>
    <n v="4"/>
    <x v="2"/>
    <n v="7.66"/>
    <n v="30.64"/>
    <x v="21"/>
    <x v="21"/>
    <s v="Oct 2024"/>
  </r>
  <r>
    <n v="1379"/>
    <x v="237"/>
    <s v="Component L"/>
    <n v="7"/>
    <x v="2"/>
    <n v="18.86"/>
    <n v="132.02000000000001"/>
    <x v="21"/>
    <x v="21"/>
    <s v="Oct 2024"/>
  </r>
  <r>
    <n v="1127"/>
    <x v="238"/>
    <s v="Widget C"/>
    <n v="6"/>
    <x v="0"/>
    <n v="15.18"/>
    <n v="91.09"/>
    <x v="21"/>
    <x v="21"/>
    <s v="Oct 2024"/>
  </r>
  <r>
    <n v="1467"/>
    <x v="239"/>
    <s v="Component M"/>
    <n v="3"/>
    <x v="2"/>
    <n v="22.24"/>
    <n v="66.73"/>
    <x v="21"/>
    <x v="21"/>
    <s v="Oct 2024"/>
  </r>
  <r>
    <n v="1451"/>
    <x v="240"/>
    <s v="Gadget Z"/>
    <n v="4"/>
    <x v="2"/>
    <n v="69.5"/>
    <n v="278.01"/>
    <x v="22"/>
    <x v="22"/>
    <s v="Nov 2024"/>
  </r>
  <r>
    <n v="1371"/>
    <x v="241"/>
    <s v="Component M"/>
    <n v="4"/>
    <x v="0"/>
    <n v="20.7"/>
    <n v="82.79"/>
    <x v="22"/>
    <x v="22"/>
    <s v="Nov 2024"/>
  </r>
  <r>
    <n v="1470"/>
    <x v="241"/>
    <s v="Widget C"/>
    <n v="5"/>
    <x v="1"/>
    <n v="15.97"/>
    <n v="79.84"/>
    <x v="22"/>
    <x v="22"/>
    <s v="Nov 2024"/>
  </r>
  <r>
    <n v="1277"/>
    <x v="242"/>
    <s v="Accessory 1"/>
    <n v="3"/>
    <x v="0"/>
    <n v="7.6"/>
    <n v="22.8"/>
    <x v="22"/>
    <x v="22"/>
    <s v="Nov 2024"/>
  </r>
  <r>
    <n v="1114"/>
    <x v="242"/>
    <s v="Widget B"/>
    <n v="4"/>
    <x v="3"/>
    <n v="33.380000000000003"/>
    <n v="133.5"/>
    <x v="22"/>
    <x v="22"/>
    <s v="Nov 2024"/>
  </r>
  <r>
    <n v="1126"/>
    <x v="243"/>
    <s v="Accessory 2"/>
    <n v="5"/>
    <x v="1"/>
    <n v="12.26"/>
    <n v="61.29"/>
    <x v="22"/>
    <x v="22"/>
    <s v="Nov 2024"/>
  </r>
  <r>
    <n v="1089"/>
    <x v="243"/>
    <s v="Component M"/>
    <n v="5"/>
    <x v="3"/>
    <n v="22.13"/>
    <n v="110.64"/>
    <x v="22"/>
    <x v="22"/>
    <s v="Nov 2024"/>
  </r>
  <r>
    <n v="1450"/>
    <x v="244"/>
    <s v="Gadget Y"/>
    <n v="3"/>
    <x v="0"/>
    <n v="41.89"/>
    <n v="125.68"/>
    <x v="22"/>
    <x v="22"/>
    <s v="Nov 2024"/>
  </r>
  <r>
    <n v="1260"/>
    <x v="244"/>
    <s v="Accessory 1"/>
    <n v="6"/>
    <x v="1"/>
    <n v="8.33"/>
    <n v="49.98"/>
    <x v="22"/>
    <x v="22"/>
    <s v="Nov 2024"/>
  </r>
  <r>
    <n v="1244"/>
    <x v="245"/>
    <s v="Component L"/>
    <n v="3"/>
    <x v="3"/>
    <n v="17.98"/>
    <n v="53.93"/>
    <x v="22"/>
    <x v="22"/>
    <s v="Nov 2024"/>
  </r>
  <r>
    <n v="1024"/>
    <x v="246"/>
    <s v="Widget B"/>
    <n v="3"/>
    <x v="2"/>
    <n v="31.19"/>
    <n v="93.57"/>
    <x v="22"/>
    <x v="22"/>
    <s v="Nov 2024"/>
  </r>
  <r>
    <n v="1204"/>
    <x v="247"/>
    <s v="Accessory 1"/>
    <n v="5"/>
    <x v="3"/>
    <n v="8.5"/>
    <n v="42.5"/>
    <x v="22"/>
    <x v="22"/>
    <s v="Nov 2024"/>
  </r>
  <r>
    <n v="1346"/>
    <x v="248"/>
    <s v="Component M"/>
    <n v="3"/>
    <x v="2"/>
    <n v="21.59"/>
    <n v="64.760000000000005"/>
    <x v="22"/>
    <x v="22"/>
    <s v="Nov 2024"/>
  </r>
  <r>
    <n v="1349"/>
    <x v="249"/>
    <s v="Component M"/>
    <n v="6"/>
    <x v="1"/>
    <n v="23.66"/>
    <n v="141.94"/>
    <x v="22"/>
    <x v="22"/>
    <s v="Nov 2024"/>
  </r>
  <r>
    <n v="1318"/>
    <x v="250"/>
    <s v="Component M"/>
    <n v="2"/>
    <x v="0"/>
    <n v="21.55"/>
    <n v="43.11"/>
    <x v="22"/>
    <x v="22"/>
    <s v="Nov 2024"/>
  </r>
  <r>
    <n v="1472"/>
    <x v="251"/>
    <s v="Widget C"/>
    <n v="4"/>
    <x v="0"/>
    <n v="15.04"/>
    <n v="60.16"/>
    <x v="22"/>
    <x v="22"/>
    <s v="Nov 2024"/>
  </r>
  <r>
    <n v="1389"/>
    <x v="252"/>
    <s v="Widget A"/>
    <n v="3"/>
    <x v="2"/>
    <n v="25.18"/>
    <n v="75.540000000000006"/>
    <x v="22"/>
    <x v="22"/>
    <s v="Nov 2024"/>
  </r>
  <r>
    <n v="1131"/>
    <x v="252"/>
    <s v="Gadget Y"/>
    <n v="1"/>
    <x v="1"/>
    <n v="39.42"/>
    <n v="39.42"/>
    <x v="22"/>
    <x v="22"/>
    <s v="Nov 2024"/>
  </r>
  <r>
    <n v="1020"/>
    <x v="253"/>
    <s v="Widget A"/>
    <n v="2"/>
    <x v="1"/>
    <n v="26.08"/>
    <n v="52.17"/>
    <x v="22"/>
    <x v="22"/>
    <s v="Nov 2024"/>
  </r>
  <r>
    <n v="1234"/>
    <x v="253"/>
    <s v="Gadget Z"/>
    <n v="5"/>
    <x v="2"/>
    <n v="66.06"/>
    <n v="330.28"/>
    <x v="22"/>
    <x v="22"/>
    <s v="Nov 2024"/>
  </r>
  <r>
    <n v="1049"/>
    <x v="254"/>
    <s v="Component M"/>
    <n v="3"/>
    <x v="2"/>
    <n v="21.52"/>
    <n v="64.55"/>
    <x v="23"/>
    <x v="23"/>
    <s v="Dec 2024"/>
  </r>
  <r>
    <n v="1311"/>
    <x v="255"/>
    <s v="Component L"/>
    <n v="2"/>
    <x v="1"/>
    <n v="18.27"/>
    <n v="36.54"/>
    <x v="23"/>
    <x v="23"/>
    <s v="Dec 2024"/>
  </r>
  <r>
    <n v="1489"/>
    <x v="256"/>
    <s v="Gadget X"/>
    <n v="3"/>
    <x v="2"/>
    <n v="59.85"/>
    <n v="179.55"/>
    <x v="23"/>
    <x v="23"/>
    <s v="Dec 2024"/>
  </r>
  <r>
    <n v="1123"/>
    <x v="257"/>
    <s v="Accessory 2"/>
    <n v="3"/>
    <x v="2"/>
    <n v="11.56"/>
    <n v="34.67"/>
    <x v="23"/>
    <x v="23"/>
    <s v="Dec 2024"/>
  </r>
  <r>
    <n v="1431"/>
    <x v="258"/>
    <s v="Accessory 2"/>
    <n v="4"/>
    <x v="3"/>
    <n v="12.11"/>
    <n v="48.44"/>
    <x v="23"/>
    <x v="23"/>
    <s v="Dec 2024"/>
  </r>
  <r>
    <n v="1396"/>
    <x v="259"/>
    <s v="Widget A"/>
    <n v="5"/>
    <x v="0"/>
    <n v="24.49"/>
    <n v="122.46"/>
    <x v="23"/>
    <x v="23"/>
    <s v="Dec 2024"/>
  </r>
  <r>
    <n v="1060"/>
    <x v="260"/>
    <s v="Widget C"/>
    <n v="3"/>
    <x v="1"/>
    <n v="16.010000000000002"/>
    <n v="48.04"/>
    <x v="23"/>
    <x v="23"/>
    <s v="Dec 2024"/>
  </r>
  <r>
    <n v="1090"/>
    <x v="261"/>
    <s v="Gadget Y"/>
    <n v="3"/>
    <x v="0"/>
    <n v="44.56"/>
    <n v="133.68"/>
    <x v="23"/>
    <x v="23"/>
    <s v="Dec 2024"/>
  </r>
  <r>
    <n v="1269"/>
    <x v="262"/>
    <s v="Accessory 1"/>
    <n v="5"/>
    <x v="3"/>
    <n v="8.34"/>
    <n v="41.7"/>
    <x v="23"/>
    <x v="23"/>
    <s v="Dec 2024"/>
  </r>
  <r>
    <n v="1356"/>
    <x v="262"/>
    <s v="Component L"/>
    <n v="3"/>
    <x v="1"/>
    <n v="17.75"/>
    <n v="53.26"/>
    <x v="23"/>
    <x v="23"/>
    <s v="Dec 2024"/>
  </r>
  <r>
    <n v="1368"/>
    <x v="263"/>
    <s v="Component M"/>
    <n v="6"/>
    <x v="3"/>
    <n v="22.72"/>
    <n v="136.33000000000001"/>
    <x v="23"/>
    <x v="23"/>
    <s v="Dec 2024"/>
  </r>
  <r>
    <n v="1387"/>
    <x v="263"/>
    <s v="Component L"/>
    <n v="2"/>
    <x v="0"/>
    <n v="17.68"/>
    <n v="35.36"/>
    <x v="23"/>
    <x v="23"/>
    <s v="Dec 2024"/>
  </r>
  <r>
    <n v="1138"/>
    <x v="264"/>
    <s v="Widget B"/>
    <n v="3"/>
    <x v="1"/>
    <n v="35.11"/>
    <n v="105.33"/>
    <x v="23"/>
    <x v="23"/>
    <s v="Dec 2024"/>
  </r>
  <r>
    <n v="1051"/>
    <x v="264"/>
    <s v="Accessory 2"/>
    <n v="2"/>
    <x v="2"/>
    <n v="12.4"/>
    <n v="24.81"/>
    <x v="23"/>
    <x v="23"/>
    <s v="Dec 2024"/>
  </r>
  <r>
    <n v="1474"/>
    <x v="265"/>
    <s v="Accessory 2"/>
    <n v="4"/>
    <x v="3"/>
    <n v="12.11"/>
    <n v="48.45"/>
    <x v="24"/>
    <x v="24"/>
    <s v="Jan 2025"/>
  </r>
  <r>
    <n v="1482"/>
    <x v="265"/>
    <s v="Gadget X"/>
    <n v="4"/>
    <x v="0"/>
    <n v="54.92"/>
    <n v="219.7"/>
    <x v="24"/>
    <x v="24"/>
    <s v="Jan 2025"/>
  </r>
  <r>
    <n v="1409"/>
    <x v="266"/>
    <s v="Gadget Z"/>
    <n v="3"/>
    <x v="2"/>
    <n v="64.900000000000006"/>
    <n v="194.71"/>
    <x v="24"/>
    <x v="24"/>
    <s v="Jan 2025"/>
  </r>
  <r>
    <n v="1397"/>
    <x v="267"/>
    <s v="Widget A"/>
    <n v="5"/>
    <x v="3"/>
    <n v="23.27"/>
    <n v="116.36"/>
    <x v="24"/>
    <x v="24"/>
    <s v="Jan 2025"/>
  </r>
  <r>
    <n v="1462"/>
    <x v="268"/>
    <s v="Component M"/>
    <n v="2"/>
    <x v="0"/>
    <n v="22.15"/>
    <n v="44.29"/>
    <x v="24"/>
    <x v="24"/>
    <s v="Jan 2025"/>
  </r>
  <r>
    <n v="1375"/>
    <x v="269"/>
    <s v="Component M"/>
    <n v="2"/>
    <x v="3"/>
    <n v="23.79"/>
    <n v="47.58"/>
    <x v="24"/>
    <x v="24"/>
    <s v="Jan 2025"/>
  </r>
  <r>
    <n v="1477"/>
    <x v="270"/>
    <s v="Gadget Y"/>
    <n v="1"/>
    <x v="3"/>
    <n v="44.05"/>
    <n v="44.05"/>
    <x v="24"/>
    <x v="24"/>
    <s v="Jan 2025"/>
  </r>
  <r>
    <n v="1301"/>
    <x v="271"/>
    <s v="Gadget X"/>
    <n v="7"/>
    <x v="3"/>
    <n v="54.11"/>
    <n v="378.8"/>
    <x v="24"/>
    <x v="24"/>
    <s v="Jan 2025"/>
  </r>
  <r>
    <n v="1104"/>
    <x v="272"/>
    <s v="Widget A"/>
    <n v="6"/>
    <x v="3"/>
    <n v="25.79"/>
    <n v="154.74"/>
    <x v="24"/>
    <x v="24"/>
    <s v="Jan 2025"/>
  </r>
  <r>
    <n v="1016"/>
    <x v="273"/>
    <s v="Gadget X"/>
    <n v="3"/>
    <x v="0"/>
    <n v="60.4"/>
    <n v="181.21"/>
    <x v="24"/>
    <x v="24"/>
    <s v="Jan 2025"/>
  </r>
  <r>
    <n v="1110"/>
    <x v="274"/>
    <s v="Gadget Y"/>
    <n v="2"/>
    <x v="3"/>
    <n v="46.24"/>
    <n v="92.48"/>
    <x v="24"/>
    <x v="24"/>
    <s v="Jan 2025"/>
  </r>
  <r>
    <n v="1208"/>
    <x v="275"/>
    <s v="Gadget X"/>
    <n v="6"/>
    <x v="0"/>
    <n v="53.12"/>
    <n v="318.75"/>
    <x v="24"/>
    <x v="24"/>
    <s v="Jan 2025"/>
  </r>
  <r>
    <n v="1412"/>
    <x v="276"/>
    <s v="Widget A"/>
    <n v="4"/>
    <x v="2"/>
    <n v="25.84"/>
    <n v="103.36"/>
    <x v="24"/>
    <x v="24"/>
    <s v="Jan 2025"/>
  </r>
  <r>
    <n v="1150"/>
    <x v="277"/>
    <s v="Accessory 2"/>
    <n v="6"/>
    <x v="2"/>
    <n v="11.95"/>
    <n v="71.7"/>
    <x v="24"/>
    <x v="24"/>
    <s v="Jan 2025"/>
  </r>
  <r>
    <n v="1483"/>
    <x v="277"/>
    <s v="Gadget Y"/>
    <n v="5"/>
    <x v="3"/>
    <n v="44.4"/>
    <n v="221.99"/>
    <x v="24"/>
    <x v="24"/>
    <s v="Jan 2025"/>
  </r>
  <r>
    <n v="1354"/>
    <x v="278"/>
    <s v="Component M"/>
    <n v="3"/>
    <x v="2"/>
    <n v="23.23"/>
    <n v="69.69"/>
    <x v="24"/>
    <x v="24"/>
    <s v="Jan 2025"/>
  </r>
  <r>
    <n v="1435"/>
    <x v="278"/>
    <s v="Gadget Y"/>
    <n v="2"/>
    <x v="3"/>
    <n v="44.82"/>
    <n v="89.64"/>
    <x v="24"/>
    <x v="24"/>
    <s v="Jan 2025"/>
  </r>
  <r>
    <n v="1252"/>
    <x v="279"/>
    <s v="Accessory 1"/>
    <n v="5"/>
    <x v="3"/>
    <n v="8.4499999999999993"/>
    <n v="42.25"/>
    <x v="24"/>
    <x v="24"/>
    <s v="Jan 2025"/>
  </r>
  <r>
    <n v="1370"/>
    <x v="280"/>
    <s v="Component M"/>
    <n v="5"/>
    <x v="1"/>
    <n v="22.32"/>
    <n v="111.61"/>
    <x v="24"/>
    <x v="24"/>
    <s v="Jan 2025"/>
  </r>
  <r>
    <n v="1334"/>
    <x v="281"/>
    <s v="Accessory 2"/>
    <n v="1"/>
    <x v="2"/>
    <n v="12.48"/>
    <n v="12.48"/>
    <x v="24"/>
    <x v="24"/>
    <s v="Jan 2025"/>
  </r>
  <r>
    <n v="1065"/>
    <x v="282"/>
    <s v="Widget B"/>
    <n v="7"/>
    <x v="0"/>
    <n v="36.67"/>
    <n v="256.66000000000003"/>
    <x v="25"/>
    <x v="25"/>
    <s v="Feb 2025"/>
  </r>
  <r>
    <n v="1156"/>
    <x v="282"/>
    <s v="Component M"/>
    <n v="5"/>
    <x v="3"/>
    <n v="23.89"/>
    <n v="119.44"/>
    <x v="25"/>
    <x v="25"/>
    <s v="Feb 2025"/>
  </r>
  <r>
    <n v="1457"/>
    <x v="282"/>
    <s v="Component L"/>
    <n v="2"/>
    <x v="2"/>
    <n v="17.850000000000001"/>
    <n v="35.71"/>
    <x v="25"/>
    <x v="25"/>
    <s v="Feb 2025"/>
  </r>
  <r>
    <n v="1144"/>
    <x v="283"/>
    <s v="Gadget Y"/>
    <n v="4"/>
    <x v="1"/>
    <n v="44.33"/>
    <n v="177.32"/>
    <x v="25"/>
    <x v="25"/>
    <s v="Feb 2025"/>
  </r>
  <r>
    <n v="1096"/>
    <x v="283"/>
    <s v="Accessory 2"/>
    <n v="4"/>
    <x v="1"/>
    <n v="13.56"/>
    <n v="54.23"/>
    <x v="25"/>
    <x v="25"/>
    <s v="Feb 2025"/>
  </r>
  <r>
    <n v="1336"/>
    <x v="284"/>
    <s v="Component L"/>
    <n v="5"/>
    <x v="1"/>
    <n v="19.04"/>
    <n v="95.22"/>
    <x v="25"/>
    <x v="25"/>
    <s v="Feb 2025"/>
  </r>
  <r>
    <n v="1007"/>
    <x v="285"/>
    <s v="Widget A"/>
    <n v="4"/>
    <x v="2"/>
    <n v="25.06"/>
    <n v="100.25"/>
    <x v="25"/>
    <x v="25"/>
    <s v="Feb 2025"/>
  </r>
  <r>
    <n v="1286"/>
    <x v="286"/>
    <s v="Widget A"/>
    <n v="3"/>
    <x v="1"/>
    <n v="25.59"/>
    <n v="76.760000000000005"/>
    <x v="25"/>
    <x v="25"/>
    <s v="Feb 2025"/>
  </r>
  <r>
    <n v="1043"/>
    <x v="287"/>
    <s v="Component M"/>
    <n v="6"/>
    <x v="2"/>
    <n v="21.96"/>
    <n v="131.79"/>
    <x v="25"/>
    <x v="25"/>
    <s v="Feb 2025"/>
  </r>
  <r>
    <n v="1359"/>
    <x v="287"/>
    <s v="Widget B"/>
    <n v="2"/>
    <x v="2"/>
    <n v="31.3"/>
    <n v="62.59"/>
    <x v="25"/>
    <x v="25"/>
    <s v="Feb 2025"/>
  </r>
  <r>
    <n v="1037"/>
    <x v="288"/>
    <s v="Gadget X"/>
    <n v="1"/>
    <x v="0"/>
    <n v="55.97"/>
    <n v="55.97"/>
    <x v="25"/>
    <x v="25"/>
    <s v="Feb 2025"/>
  </r>
  <r>
    <n v="1083"/>
    <x v="289"/>
    <s v="Gadget Y"/>
    <n v="4"/>
    <x v="2"/>
    <n v="45.52"/>
    <n v="182.09"/>
    <x v="25"/>
    <x v="25"/>
    <s v="Feb 2025"/>
  </r>
  <r>
    <n v="1463"/>
    <x v="290"/>
    <s v="Component M"/>
    <n v="4"/>
    <x v="0"/>
    <n v="20.079999999999998"/>
    <n v="80.3"/>
    <x v="25"/>
    <x v="25"/>
    <s v="Feb 2025"/>
  </r>
  <r>
    <n v="1250"/>
    <x v="291"/>
    <s v="Component M"/>
    <n v="4"/>
    <x v="1"/>
    <n v="22.82"/>
    <n v="91.28"/>
    <x v="25"/>
    <x v="25"/>
    <s v="Feb 2025"/>
  </r>
  <r>
    <n v="1313"/>
    <x v="292"/>
    <s v="Gadget X"/>
    <n v="4"/>
    <x v="2"/>
    <n v="53.37"/>
    <n v="213.46"/>
    <x v="25"/>
    <x v="25"/>
    <s v="Feb 2025"/>
  </r>
  <r>
    <n v="1303"/>
    <x v="293"/>
    <s v="Accessory 2"/>
    <n v="6"/>
    <x v="3"/>
    <n v="12.7"/>
    <n v="76.23"/>
    <x v="26"/>
    <x v="26"/>
    <s v="Mar 2025"/>
  </r>
  <r>
    <n v="1063"/>
    <x v="294"/>
    <s v="Gadget X"/>
    <n v="3"/>
    <x v="1"/>
    <n v="45.19"/>
    <n v="135.56"/>
    <x v="26"/>
    <x v="26"/>
    <s v="Mar 2025"/>
  </r>
  <r>
    <n v="1339"/>
    <x v="294"/>
    <s v="Gadget Z"/>
    <n v="1"/>
    <x v="1"/>
    <n v="60.64"/>
    <n v="60.64"/>
    <x v="26"/>
    <x v="26"/>
    <s v="Mar 2025"/>
  </r>
  <r>
    <n v="1420"/>
    <x v="295"/>
    <s v="Accessory 2"/>
    <n v="3"/>
    <x v="0"/>
    <n v="10.87"/>
    <n v="32.6"/>
    <x v="26"/>
    <x v="26"/>
    <s v="Mar 2025"/>
  </r>
  <r>
    <n v="1099"/>
    <x v="295"/>
    <s v="Accessory 1"/>
    <n v="6"/>
    <x v="3"/>
    <n v="7.88"/>
    <n v="47.28"/>
    <x v="26"/>
    <x v="26"/>
    <s v="Mar 2025"/>
  </r>
  <r>
    <n v="1118"/>
    <x v="296"/>
    <s v="Gadget Z"/>
    <n v="3"/>
    <x v="3"/>
    <n v="64.28"/>
    <n v="192.84"/>
    <x v="26"/>
    <x v="26"/>
    <s v="Mar 2025"/>
  </r>
  <r>
    <n v="1493"/>
    <x v="297"/>
    <s v="Component L"/>
    <n v="6"/>
    <x v="0"/>
    <n v="19.39"/>
    <n v="116.32"/>
    <x v="26"/>
    <x v="26"/>
    <s v="Mar 2025"/>
  </r>
  <r>
    <n v="1215"/>
    <x v="297"/>
    <s v="Widget A"/>
    <n v="5"/>
    <x v="2"/>
    <n v="25.68"/>
    <n v="128.41999999999999"/>
    <x v="26"/>
    <x v="26"/>
    <s v="Mar 2025"/>
  </r>
  <r>
    <n v="1199"/>
    <x v="298"/>
    <s v="Component M"/>
    <n v="4"/>
    <x v="1"/>
    <n v="20.56"/>
    <n v="82.24"/>
    <x v="26"/>
    <x v="26"/>
    <s v="Mar 2025"/>
  </r>
  <r>
    <n v="1333"/>
    <x v="299"/>
    <s v="Gadget X"/>
    <n v="5"/>
    <x v="2"/>
    <n v="50.19"/>
    <n v="250.94"/>
    <x v="26"/>
    <x v="26"/>
    <s v="Mar 2025"/>
  </r>
  <r>
    <n v="1307"/>
    <x v="299"/>
    <s v="Gadget Y"/>
    <n v="5"/>
    <x v="1"/>
    <n v="43.11"/>
    <n v="215.55"/>
    <x v="26"/>
    <x v="26"/>
    <s v="Mar 2025"/>
  </r>
  <r>
    <n v="1087"/>
    <x v="300"/>
    <s v="Gadget X"/>
    <n v="6"/>
    <x v="0"/>
    <n v="53.19"/>
    <n v="319.13"/>
    <x v="26"/>
    <x v="26"/>
    <s v="Mar 2025"/>
  </r>
  <r>
    <n v="1009"/>
    <x v="301"/>
    <s v="Gadget X"/>
    <n v="5"/>
    <x v="2"/>
    <n v="55.63"/>
    <n v="278.13"/>
    <x v="26"/>
    <x v="26"/>
    <s v="Mar 2025"/>
  </r>
  <r>
    <n v="1453"/>
    <x v="302"/>
    <s v="Widget C"/>
    <n v="5"/>
    <x v="1"/>
    <n v="15.56"/>
    <n v="77.790000000000006"/>
    <x v="26"/>
    <x v="26"/>
    <s v="Mar 2025"/>
  </r>
  <r>
    <n v="1201"/>
    <x v="303"/>
    <s v="Gadget Y"/>
    <n v="4"/>
    <x v="3"/>
    <n v="46.85"/>
    <n v="187.42"/>
    <x v="26"/>
    <x v="26"/>
    <s v="Mar 2025"/>
  </r>
  <r>
    <n v="1056"/>
    <x v="303"/>
    <s v="Accessory 1"/>
    <n v="7"/>
    <x v="1"/>
    <n v="8.19"/>
    <n v="57.32"/>
    <x v="26"/>
    <x v="26"/>
    <s v="Mar 2025"/>
  </r>
  <r>
    <n v="1181"/>
    <x v="303"/>
    <s v="Widget C"/>
    <n v="6"/>
    <x v="0"/>
    <n v="15.24"/>
    <n v="91.46"/>
    <x v="26"/>
    <x v="26"/>
    <s v="Mar 2025"/>
  </r>
  <r>
    <n v="1221"/>
    <x v="303"/>
    <s v="Widget A"/>
    <n v="3"/>
    <x v="1"/>
    <n v="26.57"/>
    <n v="79.709999999999994"/>
    <x v="26"/>
    <x v="26"/>
    <s v="Mar 2025"/>
  </r>
  <r>
    <n v="1196"/>
    <x v="304"/>
    <s v="Widget B"/>
    <n v="2"/>
    <x v="2"/>
    <n v="37.93"/>
    <n v="75.849999999999994"/>
    <x v="27"/>
    <x v="27"/>
    <s v="Apr 2025"/>
  </r>
  <r>
    <n v="1292"/>
    <x v="305"/>
    <s v="Component M"/>
    <n v="2"/>
    <x v="2"/>
    <n v="22.39"/>
    <n v="44.79"/>
    <x v="27"/>
    <x v="27"/>
    <s v="Apr 2025"/>
  </r>
  <r>
    <n v="1492"/>
    <x v="306"/>
    <s v="Gadget Y"/>
    <n v="4"/>
    <x v="3"/>
    <n v="41.89"/>
    <n v="167.56"/>
    <x v="27"/>
    <x v="27"/>
    <s v="Apr 2025"/>
  </r>
  <r>
    <n v="1445"/>
    <x v="306"/>
    <s v="Accessory 2"/>
    <n v="9"/>
    <x v="1"/>
    <n v="11.14"/>
    <n v="100.23"/>
    <x v="27"/>
    <x v="27"/>
    <s v="Apr 2025"/>
  </r>
  <r>
    <n v="1366"/>
    <x v="307"/>
    <s v="Accessory 2"/>
    <n v="5"/>
    <x v="0"/>
    <n v="12.12"/>
    <n v="60.61"/>
    <x v="27"/>
    <x v="27"/>
    <s v="Apr 2025"/>
  </r>
  <r>
    <n v="1257"/>
    <x v="308"/>
    <s v="Widget B"/>
    <n v="3"/>
    <x v="0"/>
    <n v="35.36"/>
    <n v="106.08"/>
    <x v="27"/>
    <x v="27"/>
    <s v="Apr 2025"/>
  </r>
  <r>
    <n v="1438"/>
    <x v="309"/>
    <s v="Component L"/>
    <n v="7"/>
    <x v="3"/>
    <n v="18.420000000000002"/>
    <n v="128.91999999999999"/>
    <x v="27"/>
    <x v="27"/>
    <s v="Apr 2025"/>
  </r>
  <r>
    <n v="1300"/>
    <x v="310"/>
    <s v="Widget C"/>
    <n v="4"/>
    <x v="0"/>
    <n v="14.93"/>
    <n v="59.72"/>
    <x v="27"/>
    <x v="27"/>
    <s v="Apr 2025"/>
  </r>
  <r>
    <n v="1027"/>
    <x v="311"/>
    <s v="Gadget Y"/>
    <n v="3"/>
    <x v="2"/>
    <n v="41.31"/>
    <n v="123.94"/>
    <x v="27"/>
    <x v="27"/>
    <s v="Apr 2025"/>
  </r>
  <r>
    <n v="1268"/>
    <x v="312"/>
    <s v="Component L"/>
    <n v="3"/>
    <x v="2"/>
    <n v="18.96"/>
    <n v="56.88"/>
    <x v="27"/>
    <x v="27"/>
    <s v="Apr 2025"/>
  </r>
  <r>
    <n v="1140"/>
    <x v="313"/>
    <s v="Gadget X"/>
    <n v="4"/>
    <x v="3"/>
    <n v="55.97"/>
    <n v="223.87"/>
    <x v="27"/>
    <x v="27"/>
    <s v="Apr 2025"/>
  </r>
  <r>
    <n v="1278"/>
    <x v="314"/>
    <s v="Component L"/>
    <n v="2"/>
    <x v="3"/>
    <n v="18.8"/>
    <n v="37.6"/>
    <x v="27"/>
    <x v="27"/>
    <s v="Apr 2025"/>
  </r>
  <r>
    <n v="1030"/>
    <x v="315"/>
    <s v="Gadget X"/>
    <n v="8"/>
    <x v="0"/>
    <n v="52.5"/>
    <n v="419.99"/>
    <x v="27"/>
    <x v="27"/>
    <s v="Apr 2025"/>
  </r>
  <r>
    <n v="1357"/>
    <x v="316"/>
    <s v="Accessory 2"/>
    <n v="4"/>
    <x v="0"/>
    <n v="11.96"/>
    <n v="47.82"/>
    <x v="27"/>
    <x v="27"/>
    <s v="Apr 2025"/>
  </r>
  <r>
    <n v="1398"/>
    <x v="317"/>
    <s v="Gadget Y"/>
    <n v="6"/>
    <x v="2"/>
    <n v="42.56"/>
    <n v="255.36"/>
    <x v="27"/>
    <x v="27"/>
    <s v="Apr 2025"/>
  </r>
  <r>
    <n v="1345"/>
    <x v="318"/>
    <s v="Widget A"/>
    <n v="1"/>
    <x v="3"/>
    <n v="25.52"/>
    <n v="25.52"/>
    <x v="28"/>
    <x v="28"/>
    <s v="May 2025"/>
  </r>
  <r>
    <n v="1246"/>
    <x v="319"/>
    <s v="Component L"/>
    <n v="3"/>
    <x v="0"/>
    <n v="18.04"/>
    <n v="54.11"/>
    <x v="28"/>
    <x v="28"/>
    <s v="May 2025"/>
  </r>
  <r>
    <n v="1270"/>
    <x v="319"/>
    <s v="Gadget X"/>
    <n v="3"/>
    <x v="2"/>
    <n v="53.4"/>
    <n v="160.19"/>
    <x v="28"/>
    <x v="28"/>
    <s v="May 2025"/>
  </r>
  <r>
    <n v="1136"/>
    <x v="320"/>
    <s v="Gadget Z"/>
    <n v="10"/>
    <x v="1"/>
    <n v="65.53"/>
    <n v="655.29"/>
    <x v="28"/>
    <x v="28"/>
    <s v="May 2025"/>
  </r>
  <r>
    <n v="1017"/>
    <x v="321"/>
    <s v="Widget A"/>
    <n v="3"/>
    <x v="2"/>
    <n v="24.75"/>
    <n v="74.260000000000005"/>
    <x v="28"/>
    <x v="28"/>
    <s v="May 2025"/>
  </r>
  <r>
    <n v="1000"/>
    <x v="322"/>
    <s v="Widget B"/>
    <n v="7"/>
    <x v="3"/>
    <n v="35.6"/>
    <n v="249.2"/>
    <x v="28"/>
    <x v="28"/>
    <s v="May 2025"/>
  </r>
  <r>
    <n v="1314"/>
    <x v="322"/>
    <s v="Widget C"/>
    <n v="5"/>
    <x v="2"/>
    <n v="15.21"/>
    <n v="76.06"/>
    <x v="28"/>
    <x v="28"/>
    <s v="May 2025"/>
  </r>
  <r>
    <n v="1160"/>
    <x v="323"/>
    <s v="Widget C"/>
    <n v="6"/>
    <x v="3"/>
    <n v="15.13"/>
    <n v="90.78"/>
    <x v="28"/>
    <x v="28"/>
    <s v="May 2025"/>
  </r>
  <r>
    <n v="1103"/>
    <x v="323"/>
    <s v="Widget A"/>
    <n v="1"/>
    <x v="2"/>
    <n v="24.37"/>
    <n v="24.37"/>
    <x v="28"/>
    <x v="28"/>
    <s v="May 2025"/>
  </r>
  <r>
    <n v="1291"/>
    <x v="324"/>
    <s v="Accessory 1"/>
    <n v="6"/>
    <x v="0"/>
    <n v="7.99"/>
    <n v="47.95"/>
    <x v="28"/>
    <x v="28"/>
    <s v="May 2025"/>
  </r>
  <r>
    <n v="1383"/>
    <x v="324"/>
    <s v="Gadget X"/>
    <n v="2"/>
    <x v="3"/>
    <n v="57.17"/>
    <n v="114.34"/>
    <x v="28"/>
    <x v="28"/>
    <s v="May 2025"/>
  </r>
  <r>
    <n v="1475"/>
    <x v="325"/>
    <s v="Gadget X"/>
    <n v="6"/>
    <x v="1"/>
    <n v="55.63"/>
    <n v="333.79"/>
    <x v="28"/>
    <x v="28"/>
    <s v="May 2025"/>
  </r>
  <r>
    <n v="1098"/>
    <x v="326"/>
    <s v="Gadget Z"/>
    <n v="4"/>
    <x v="2"/>
    <n v="58.95"/>
    <n v="235.8"/>
    <x v="28"/>
    <x v="28"/>
    <s v="May 2025"/>
  </r>
  <r>
    <n v="1165"/>
    <x v="327"/>
    <s v="Accessory 2"/>
    <n v="4"/>
    <x v="0"/>
    <n v="12.46"/>
    <n v="49.85"/>
    <x v="28"/>
    <x v="28"/>
    <s v="May 2025"/>
  </r>
  <r>
    <n v="1005"/>
    <x v="327"/>
    <s v="Accessory 2"/>
    <n v="5"/>
    <x v="3"/>
    <n v="11.84"/>
    <n v="59.2"/>
    <x v="28"/>
    <x v="28"/>
    <s v="May 2025"/>
  </r>
  <r>
    <n v="1384"/>
    <x v="328"/>
    <s v="Widget C"/>
    <n v="7"/>
    <x v="0"/>
    <n v="16.09"/>
    <n v="112.6"/>
    <x v="28"/>
    <x v="28"/>
    <s v="May 2025"/>
  </r>
  <r>
    <n v="1428"/>
    <x v="329"/>
    <s v="Accessory 2"/>
    <n v="3"/>
    <x v="1"/>
    <n v="12.67"/>
    <n v="38.01"/>
    <x v="28"/>
    <x v="28"/>
    <s v="May 2025"/>
  </r>
  <r>
    <n v="1494"/>
    <x v="330"/>
    <s v="Accessory 1"/>
    <n v="5"/>
    <x v="0"/>
    <n v="8.2899999999999991"/>
    <n v="41.46"/>
    <x v="28"/>
    <x v="28"/>
    <s v="May 2025"/>
  </r>
  <r>
    <n v="1287"/>
    <x v="330"/>
    <s v="Component L"/>
    <n v="4"/>
    <x v="1"/>
    <n v="19.72"/>
    <n v="78.89"/>
    <x v="28"/>
    <x v="28"/>
    <s v="May 2025"/>
  </r>
  <r>
    <n v="1194"/>
    <x v="331"/>
    <s v="Component L"/>
    <n v="2"/>
    <x v="2"/>
    <n v="16.809999999999999"/>
    <n v="33.61"/>
    <x v="28"/>
    <x v="28"/>
    <s v="May 2025"/>
  </r>
  <r>
    <n v="1217"/>
    <x v="332"/>
    <s v="Widget B"/>
    <n v="4"/>
    <x v="2"/>
    <n v="35.619999999999997"/>
    <n v="142.46"/>
    <x v="28"/>
    <x v="28"/>
    <s v="May 2025"/>
  </r>
  <r>
    <n v="1062"/>
    <x v="332"/>
    <s v="Gadget Z"/>
    <n v="6"/>
    <x v="3"/>
    <n v="63.17"/>
    <n v="379.01"/>
    <x v="28"/>
    <x v="28"/>
    <s v="May 2025"/>
  </r>
  <r>
    <n v="1174"/>
    <x v="333"/>
    <s v="Accessory 1"/>
    <n v="5"/>
    <x v="0"/>
    <n v="8.32"/>
    <n v="41.58"/>
    <x v="28"/>
    <x v="28"/>
    <s v="May 2025"/>
  </r>
  <r>
    <n v="1487"/>
    <x v="334"/>
    <s v="Widget A"/>
    <n v="2"/>
    <x v="0"/>
    <n v="24.22"/>
    <n v="48.43"/>
    <x v="29"/>
    <x v="29"/>
    <s v="Jun 2025"/>
  </r>
  <r>
    <n v="1289"/>
    <x v="335"/>
    <s v="Widget A"/>
    <n v="2"/>
    <x v="0"/>
    <n v="23.89"/>
    <n v="47.79"/>
    <x v="29"/>
    <x v="29"/>
    <s v="Jun 2025"/>
  </r>
  <r>
    <n v="1147"/>
    <x v="335"/>
    <s v="Accessory 1"/>
    <n v="3"/>
    <x v="1"/>
    <n v="8.48"/>
    <n v="25.44"/>
    <x v="29"/>
    <x v="29"/>
    <s v="Jun 2025"/>
  </r>
  <r>
    <n v="1400"/>
    <x v="336"/>
    <s v="Gadget X"/>
    <n v="4"/>
    <x v="2"/>
    <n v="52.35"/>
    <n v="209.39"/>
    <x v="29"/>
    <x v="29"/>
    <s v="Jun 2025"/>
  </r>
  <r>
    <n v="1455"/>
    <x v="337"/>
    <s v="Component L"/>
    <n v="4"/>
    <x v="2"/>
    <n v="18.12"/>
    <n v="72.48"/>
    <x v="29"/>
    <x v="29"/>
    <s v="Jun 2025"/>
  </r>
  <r>
    <n v="1403"/>
    <x v="338"/>
    <s v="Widget C"/>
    <n v="5"/>
    <x v="2"/>
    <n v="14.68"/>
    <n v="73.39"/>
    <x v="29"/>
    <x v="29"/>
    <s v="Jun 2025"/>
  </r>
  <r>
    <n v="1102"/>
    <x v="339"/>
    <s v="Gadget X"/>
    <n v="5"/>
    <x v="0"/>
    <n v="54.65"/>
    <n v="273.24"/>
    <x v="29"/>
    <x v="29"/>
    <s v="Jun 2025"/>
  </r>
  <r>
    <n v="1439"/>
    <x v="340"/>
    <s v="Gadget X"/>
    <n v="4"/>
    <x v="2"/>
    <n v="56.5"/>
    <n v="226.01"/>
    <x v="29"/>
    <x v="29"/>
    <s v="Jun 2025"/>
  </r>
  <r>
    <n v="1343"/>
    <x v="341"/>
    <s v="Component M"/>
    <n v="3"/>
    <x v="1"/>
    <n v="21.9"/>
    <n v="65.709999999999994"/>
    <x v="29"/>
    <x v="29"/>
    <s v="Jun 2025"/>
  </r>
  <r>
    <n v="1176"/>
    <x v="342"/>
    <s v="Widget A"/>
    <n v="5"/>
    <x v="3"/>
    <n v="26.33"/>
    <n v="131.65"/>
    <x v="29"/>
    <x v="29"/>
    <s v="Jun 2025"/>
  </r>
  <r>
    <n v="1310"/>
    <x v="342"/>
    <s v="Component M"/>
    <n v="5"/>
    <x v="3"/>
    <n v="21.46"/>
    <n v="107.31"/>
    <x v="29"/>
    <x v="29"/>
    <s v="Jun 2025"/>
  </r>
  <r>
    <n v="1039"/>
    <x v="343"/>
    <s v="Gadget X"/>
    <n v="5"/>
    <x v="3"/>
    <n v="55.67"/>
    <n v="278.35000000000002"/>
    <x v="29"/>
    <x v="29"/>
    <s v="Jun 2025"/>
  </r>
  <r>
    <n v="1258"/>
    <x v="344"/>
    <s v="Component L"/>
    <n v="5"/>
    <x v="1"/>
    <n v="18.3"/>
    <n v="91.52"/>
    <x v="29"/>
    <x v="29"/>
    <s v="Jun 2025"/>
  </r>
  <r>
    <n v="1485"/>
    <x v="345"/>
    <s v="Widget B"/>
    <n v="7"/>
    <x v="3"/>
    <n v="35.06"/>
    <n v="245.45"/>
    <x v="29"/>
    <x v="29"/>
    <s v="Jun 2025"/>
  </r>
  <r>
    <n v="1324"/>
    <x v="346"/>
    <s v="Widget B"/>
    <n v="3"/>
    <x v="2"/>
    <n v="32.9"/>
    <n v="98.71"/>
    <x v="29"/>
    <x v="29"/>
    <s v="Jun 2025"/>
  </r>
  <r>
    <n v="1417"/>
    <x v="347"/>
    <s v="Widget A"/>
    <n v="5"/>
    <x v="3"/>
    <n v="26.49"/>
    <n v="132.47"/>
    <x v="30"/>
    <x v="30"/>
    <s v="Jul 2025"/>
  </r>
  <r>
    <n v="1193"/>
    <x v="348"/>
    <s v="Widget A"/>
    <n v="3"/>
    <x v="3"/>
    <n v="26.37"/>
    <n v="79.099999999999994"/>
    <x v="30"/>
    <x v="30"/>
    <s v="Jul 2025"/>
  </r>
  <r>
    <n v="1373"/>
    <x v="349"/>
    <s v="Widget C"/>
    <n v="5"/>
    <x v="3"/>
    <n v="14.78"/>
    <n v="73.92"/>
    <x v="30"/>
    <x v="30"/>
    <s v="Jul 2025"/>
  </r>
  <r>
    <n v="1254"/>
    <x v="350"/>
    <s v="Gadget X"/>
    <n v="4"/>
    <x v="1"/>
    <n v="53.83"/>
    <n v="215.33"/>
    <x v="30"/>
    <x v="30"/>
    <s v="Jul 2025"/>
  </r>
  <r>
    <n v="1484"/>
    <x v="351"/>
    <s v="Gadget X"/>
    <n v="3"/>
    <x v="0"/>
    <n v="52.81"/>
    <n v="158.41999999999999"/>
    <x v="30"/>
    <x v="30"/>
    <s v="Jul 2025"/>
  </r>
  <r>
    <n v="1239"/>
    <x v="352"/>
    <s v="Component L"/>
    <n v="3"/>
    <x v="3"/>
    <n v="19.100000000000001"/>
    <n v="57.31"/>
    <x v="30"/>
    <x v="30"/>
    <s v="Jul 2025"/>
  </r>
  <r>
    <n v="1162"/>
    <x v="353"/>
    <s v="Gadget Z"/>
    <n v="3"/>
    <x v="3"/>
    <n v="65.48"/>
    <n v="196.45"/>
    <x v="30"/>
    <x v="30"/>
    <s v="Jul 2025"/>
  </r>
  <r>
    <n v="1480"/>
    <x v="353"/>
    <s v="Component L"/>
    <n v="2"/>
    <x v="0"/>
    <n v="17.54"/>
    <n v="35.08"/>
    <x v="30"/>
    <x v="30"/>
    <s v="Jul 2025"/>
  </r>
  <r>
    <n v="1446"/>
    <x v="353"/>
    <s v="Component M"/>
    <n v="5"/>
    <x v="0"/>
    <n v="20.81"/>
    <n v="104.03"/>
    <x v="30"/>
    <x v="30"/>
    <s v="Jul 2025"/>
  </r>
  <r>
    <n v="1084"/>
    <x v="354"/>
    <s v="Gadget Y"/>
    <n v="4"/>
    <x v="2"/>
    <n v="42.87"/>
    <n v="171.5"/>
    <x v="30"/>
    <x v="30"/>
    <s v="Jul 2025"/>
  </r>
  <r>
    <n v="1447"/>
    <x v="355"/>
    <s v="Component L"/>
    <n v="5"/>
    <x v="0"/>
    <n v="18.64"/>
    <n v="93.19"/>
    <x v="30"/>
    <x v="30"/>
    <s v="Jul 2025"/>
  </r>
  <r>
    <n v="1406"/>
    <x v="356"/>
    <s v="Accessory 1"/>
    <n v="5"/>
    <x v="3"/>
    <n v="8.2200000000000006"/>
    <n v="41.1"/>
    <x v="30"/>
    <x v="30"/>
    <s v="Jul 2025"/>
  </r>
  <r>
    <n v="1293"/>
    <x v="357"/>
    <s v="Widget B"/>
    <n v="2"/>
    <x v="1"/>
    <n v="33.53"/>
    <n v="67.069999999999993"/>
    <x v="30"/>
    <x v="30"/>
    <s v="Jul 2025"/>
  </r>
  <r>
    <n v="1419"/>
    <x v="358"/>
    <s v="Component L"/>
    <n v="3"/>
    <x v="2"/>
    <n v="17.7"/>
    <n v="53.09"/>
    <x v="31"/>
    <x v="31"/>
    <s v="Aug 2025"/>
  </r>
  <r>
    <n v="1402"/>
    <x v="359"/>
    <s v="Gadget X"/>
    <n v="6"/>
    <x v="0"/>
    <n v="49.3"/>
    <n v="295.79000000000002"/>
    <x v="31"/>
    <x v="31"/>
    <s v="Aug 2025"/>
  </r>
  <r>
    <n v="1130"/>
    <x v="360"/>
    <s v="Gadget Y"/>
    <n v="2"/>
    <x v="3"/>
    <n v="48.66"/>
    <n v="97.32"/>
    <x v="31"/>
    <x v="31"/>
    <s v="Aug 2025"/>
  </r>
  <r>
    <n v="1415"/>
    <x v="361"/>
    <s v="Gadget Y"/>
    <n v="4"/>
    <x v="0"/>
    <n v="44.3"/>
    <n v="177.2"/>
    <x v="31"/>
    <x v="31"/>
    <s v="Aug 2025"/>
  </r>
  <r>
    <n v="1206"/>
    <x v="362"/>
    <s v="Component L"/>
    <n v="5"/>
    <x v="0"/>
    <n v="18.78"/>
    <n v="93.89"/>
    <x v="31"/>
    <x v="31"/>
    <s v="Aug 2025"/>
  </r>
  <r>
    <n v="1157"/>
    <x v="362"/>
    <s v="Widget B"/>
    <n v="3"/>
    <x v="2"/>
    <n v="37.69"/>
    <n v="113.07"/>
    <x v="31"/>
    <x v="31"/>
    <s v="Aug 2025"/>
  </r>
  <r>
    <n v="1041"/>
    <x v="363"/>
    <s v="Accessory 2"/>
    <n v="2"/>
    <x v="3"/>
    <n v="10.6"/>
    <n v="21.19"/>
    <x v="31"/>
    <x v="31"/>
    <s v="Aug 2025"/>
  </r>
  <r>
    <n v="1011"/>
    <x v="363"/>
    <s v="Gadget Y"/>
    <n v="3"/>
    <x v="3"/>
    <n v="47.71"/>
    <n v="143.13999999999999"/>
    <x v="31"/>
    <x v="31"/>
    <s v="Aug 2025"/>
  </r>
  <r>
    <n v="1197"/>
    <x v="364"/>
    <s v="Gadget Y"/>
    <n v="4"/>
    <x v="3"/>
    <n v="47.08"/>
    <n v="188.31"/>
    <x v="31"/>
    <x v="31"/>
    <s v="Aug 2025"/>
  </r>
  <r>
    <n v="1348"/>
    <x v="364"/>
    <s v="Widget A"/>
    <n v="5"/>
    <x v="3"/>
    <n v="24.34"/>
    <n v="121.71"/>
    <x v="31"/>
    <x v="31"/>
    <s v="Aug 2025"/>
  </r>
  <r>
    <n v="1321"/>
    <x v="365"/>
    <s v="Widget B"/>
    <n v="2"/>
    <x v="3"/>
    <n v="34.51"/>
    <n v="69.010000000000005"/>
    <x v="31"/>
    <x v="31"/>
    <s v="Aug 2025"/>
  </r>
  <r>
    <n v="1023"/>
    <x v="365"/>
    <s v="Widget A"/>
    <n v="3"/>
    <x v="1"/>
    <n v="25.72"/>
    <n v="77.16"/>
    <x v="31"/>
    <x v="31"/>
    <s v="Aug 2025"/>
  </r>
  <r>
    <n v="1025"/>
    <x v="365"/>
    <s v="Accessory 1"/>
    <n v="6"/>
    <x v="3"/>
    <n v="7.84"/>
    <n v="47.06"/>
    <x v="31"/>
    <x v="31"/>
    <s v="Aug 2025"/>
  </r>
  <r>
    <n v="1479"/>
    <x v="366"/>
    <s v="Accessory 2"/>
    <n v="4"/>
    <x v="3"/>
    <n v="12.42"/>
    <n v="49.69"/>
    <x v="31"/>
    <x v="31"/>
    <s v="Aug 2025"/>
  </r>
  <r>
    <n v="1218"/>
    <x v="367"/>
    <s v="Component M"/>
    <n v="5"/>
    <x v="1"/>
    <n v="22.8"/>
    <n v="113.99"/>
    <x v="31"/>
    <x v="31"/>
    <s v="Aug 2025"/>
  </r>
  <r>
    <n v="1091"/>
    <x v="368"/>
    <s v="Widget A"/>
    <n v="3"/>
    <x v="1"/>
    <n v="23.8"/>
    <n v="71.39"/>
    <x v="31"/>
    <x v="31"/>
    <s v="Aug 2025"/>
  </r>
  <r>
    <n v="1247"/>
    <x v="369"/>
    <s v="Widget B"/>
    <n v="3"/>
    <x v="2"/>
    <n v="36.450000000000003"/>
    <n v="109.35"/>
    <x v="31"/>
    <x v="31"/>
    <s v="Aug 2025"/>
  </r>
  <r>
    <n v="1464"/>
    <x v="370"/>
    <s v="Gadget Y"/>
    <n v="4"/>
    <x v="1"/>
    <n v="46.6"/>
    <n v="186.42"/>
    <x v="31"/>
    <x v="31"/>
    <s v="Aug 2025"/>
  </r>
  <r>
    <n v="1361"/>
    <x v="371"/>
    <s v="Gadget Y"/>
    <n v="4"/>
    <x v="3"/>
    <n v="47.69"/>
    <n v="190.77"/>
    <x v="31"/>
    <x v="31"/>
    <s v="Aug 2025"/>
  </r>
  <r>
    <n v="1461"/>
    <x v="372"/>
    <s v="Component L"/>
    <n v="3"/>
    <x v="1"/>
    <n v="19.41"/>
    <n v="58.24"/>
    <x v="31"/>
    <x v="31"/>
    <s v="Aug 2025"/>
  </r>
  <r>
    <n v="1266"/>
    <x v="373"/>
    <s v="Accessory 1"/>
    <n v="3"/>
    <x v="1"/>
    <n v="9"/>
    <n v="27.01"/>
    <x v="31"/>
    <x v="31"/>
    <s v="Aug 2025"/>
  </r>
  <r>
    <n v="1466"/>
    <x v="373"/>
    <s v="Widget C"/>
    <n v="2"/>
    <x v="2"/>
    <n v="14.79"/>
    <n v="29.59"/>
    <x v="31"/>
    <x v="31"/>
    <s v="Aug 2025"/>
  </r>
  <r>
    <n v="1122"/>
    <x v="374"/>
    <s v="Gadget Y"/>
    <n v="4"/>
    <x v="1"/>
    <n v="49.55"/>
    <n v="198.18"/>
    <x v="31"/>
    <x v="31"/>
    <s v="Aug 2025"/>
  </r>
  <r>
    <n v="1021"/>
    <x v="375"/>
    <s v="Component M"/>
    <n v="2"/>
    <x v="1"/>
    <n v="22.52"/>
    <n v="45.04"/>
    <x v="32"/>
    <x v="32"/>
    <s v="Sep 2025"/>
  </r>
  <r>
    <n v="1376"/>
    <x v="376"/>
    <s v="Component M"/>
    <n v="2"/>
    <x v="0"/>
    <n v="21"/>
    <n v="42"/>
    <x v="32"/>
    <x v="32"/>
    <s v="Sep 2025"/>
  </r>
  <r>
    <n v="1238"/>
    <x v="377"/>
    <s v="Widget C"/>
    <n v="1"/>
    <x v="2"/>
    <n v="15.59"/>
    <n v="15.59"/>
    <x v="32"/>
    <x v="32"/>
    <s v="Sep 2025"/>
  </r>
  <r>
    <n v="1149"/>
    <x v="378"/>
    <s v="Gadget Z"/>
    <n v="5"/>
    <x v="2"/>
    <n v="63.64"/>
    <n v="318.18"/>
    <x v="32"/>
    <x v="32"/>
    <s v="Sep 2025"/>
  </r>
  <r>
    <n v="1288"/>
    <x v="379"/>
    <s v="Accessory 1"/>
    <n v="6"/>
    <x v="0"/>
    <n v="8.16"/>
    <n v="48.97"/>
    <x v="32"/>
    <x v="32"/>
    <s v="Sep 2025"/>
  </r>
  <r>
    <n v="1282"/>
    <x v="380"/>
    <s v="Gadget Y"/>
    <n v="4"/>
    <x v="0"/>
    <n v="44.42"/>
    <n v="177.67"/>
    <x v="32"/>
    <x v="32"/>
    <s v="Sep 2025"/>
  </r>
  <r>
    <n v="1235"/>
    <x v="380"/>
    <s v="Gadget Z"/>
    <n v="5"/>
    <x v="3"/>
    <n v="64.459999999999994"/>
    <n v="322.29000000000002"/>
    <x v="32"/>
    <x v="32"/>
    <s v="Sep 2025"/>
  </r>
  <r>
    <n v="1054"/>
    <x v="381"/>
    <s v="Widget C"/>
    <n v="4"/>
    <x v="0"/>
    <n v="13.81"/>
    <n v="55.25"/>
    <x v="32"/>
    <x v="32"/>
    <s v="Sep 2025"/>
  </r>
  <r>
    <n v="1317"/>
    <x v="382"/>
    <s v="Gadget Y"/>
    <n v="3"/>
    <x v="1"/>
    <n v="42.03"/>
    <n v="126.08"/>
    <x v="32"/>
    <x v="32"/>
    <s v="Sep 2025"/>
  </r>
  <r>
    <n v="1279"/>
    <x v="383"/>
    <s v="Widget B"/>
    <n v="5"/>
    <x v="0"/>
    <n v="33.79"/>
    <n v="168.94"/>
    <x v="32"/>
    <x v="32"/>
    <s v="Sep 2025"/>
  </r>
  <r>
    <n v="1284"/>
    <x v="384"/>
    <s v="Component M"/>
    <n v="3"/>
    <x v="3"/>
    <n v="22.34"/>
    <n v="67.010000000000005"/>
    <x v="32"/>
    <x v="32"/>
    <s v="Sep 2025"/>
  </r>
  <r>
    <n v="1319"/>
    <x v="385"/>
    <s v="Component L"/>
    <n v="6"/>
    <x v="0"/>
    <n v="17.940000000000001"/>
    <n v="107.64"/>
    <x v="33"/>
    <x v="33"/>
    <s v="Oct 2025"/>
  </r>
  <r>
    <n v="1377"/>
    <x v="385"/>
    <s v="Widget A"/>
    <n v="5"/>
    <x v="1"/>
    <n v="25.04"/>
    <n v="125.18"/>
    <x v="33"/>
    <x v="33"/>
    <s v="Oct 2025"/>
  </r>
  <r>
    <n v="1322"/>
    <x v="386"/>
    <s v="Gadget X"/>
    <n v="1"/>
    <x v="0"/>
    <n v="50.32"/>
    <n v="50.32"/>
    <x v="33"/>
    <x v="33"/>
    <s v="Oct 2025"/>
  </r>
  <r>
    <n v="1116"/>
    <x v="387"/>
    <s v="Widget C"/>
    <n v="4"/>
    <x v="0"/>
    <n v="16.18"/>
    <n v="64.7"/>
    <x v="33"/>
    <x v="33"/>
    <s v="Oct 2025"/>
  </r>
  <r>
    <n v="1304"/>
    <x v="387"/>
    <s v="Gadget Y"/>
    <n v="1"/>
    <x v="1"/>
    <n v="43.87"/>
    <n v="43.87"/>
    <x v="33"/>
    <x v="33"/>
    <s v="Oct 2025"/>
  </r>
  <r>
    <n v="1179"/>
    <x v="388"/>
    <s v="Gadget Y"/>
    <n v="6"/>
    <x v="2"/>
    <n v="45.07"/>
    <n v="270.45"/>
    <x v="33"/>
    <x v="33"/>
    <s v="Oct 2025"/>
  </r>
  <r>
    <n v="1337"/>
    <x v="389"/>
    <s v="Accessory 2"/>
    <n v="1"/>
    <x v="1"/>
    <n v="12.07"/>
    <n v="12.07"/>
    <x v="33"/>
    <x v="33"/>
    <s v="Oct 2025"/>
  </r>
  <r>
    <n v="1496"/>
    <x v="389"/>
    <s v="Gadget Z"/>
    <n v="5"/>
    <x v="0"/>
    <n v="68.959999999999994"/>
    <n v="344.82"/>
    <x v="33"/>
    <x v="33"/>
    <s v="Oct 2025"/>
  </r>
  <r>
    <n v="1058"/>
    <x v="390"/>
    <s v="Component L"/>
    <n v="4"/>
    <x v="3"/>
    <n v="18.07"/>
    <n v="72.28"/>
    <x v="33"/>
    <x v="33"/>
    <s v="Oct 2025"/>
  </r>
  <r>
    <n v="1173"/>
    <x v="390"/>
    <s v="Widget C"/>
    <n v="5"/>
    <x v="2"/>
    <n v="15.7"/>
    <n v="78.489999999999995"/>
    <x v="33"/>
    <x v="33"/>
    <s v="Oct 2025"/>
  </r>
  <r>
    <n v="1079"/>
    <x v="391"/>
    <s v="Component M"/>
    <n v="3"/>
    <x v="0"/>
    <n v="20.91"/>
    <n v="62.73"/>
    <x v="33"/>
    <x v="33"/>
    <s v="Oct 2025"/>
  </r>
  <r>
    <n v="1220"/>
    <x v="392"/>
    <s v="Widget C"/>
    <n v="1"/>
    <x v="1"/>
    <n v="13.76"/>
    <n v="13.76"/>
    <x v="33"/>
    <x v="33"/>
    <s v="Oct 2025"/>
  </r>
  <r>
    <n v="1106"/>
    <x v="393"/>
    <s v="Component L"/>
    <n v="3"/>
    <x v="0"/>
    <n v="15.98"/>
    <n v="47.94"/>
    <x v="33"/>
    <x v="33"/>
    <s v="Oct 2025"/>
  </r>
  <r>
    <n v="1369"/>
    <x v="393"/>
    <s v="Component L"/>
    <n v="4"/>
    <x v="2"/>
    <n v="17.559999999999999"/>
    <n v="70.23"/>
    <x v="33"/>
    <x v="33"/>
    <s v="Oct 2025"/>
  </r>
  <r>
    <n v="1047"/>
    <x v="394"/>
    <s v="Accessory 1"/>
    <n v="6"/>
    <x v="1"/>
    <n v="8.8000000000000007"/>
    <n v="52.8"/>
    <x v="33"/>
    <x v="33"/>
    <s v="Oct 2025"/>
  </r>
  <r>
    <n v="1362"/>
    <x v="394"/>
    <s v="Widget B"/>
    <n v="3"/>
    <x v="0"/>
    <n v="35.049999999999997"/>
    <n v="105.15"/>
    <x v="33"/>
    <x v="33"/>
    <s v="Oct 2025"/>
  </r>
  <r>
    <n v="1440"/>
    <x v="395"/>
    <s v="Widget A"/>
    <n v="5"/>
    <x v="3"/>
    <n v="24.3"/>
    <n v="121.52"/>
    <x v="33"/>
    <x v="33"/>
    <s v="Oct 2025"/>
  </r>
  <r>
    <n v="1046"/>
    <x v="396"/>
    <s v="Accessory 2"/>
    <n v="3"/>
    <x v="0"/>
    <n v="12.8"/>
    <n v="38.39"/>
    <x v="33"/>
    <x v="33"/>
    <s v="Oct 2025"/>
  </r>
  <r>
    <n v="1094"/>
    <x v="397"/>
    <s v="Accessory 1"/>
    <n v="6"/>
    <x v="2"/>
    <n v="7.91"/>
    <n v="47.48"/>
    <x v="33"/>
    <x v="33"/>
    <s v="Oct 2025"/>
  </r>
  <r>
    <n v="1495"/>
    <x v="397"/>
    <s v="Widget C"/>
    <n v="4"/>
    <x v="3"/>
    <n v="14.76"/>
    <n v="59.03"/>
    <x v="33"/>
    <x v="33"/>
    <s v="Oct 2025"/>
  </r>
  <r>
    <n v="1469"/>
    <x v="398"/>
    <s v="Gadget X"/>
    <n v="2"/>
    <x v="3"/>
    <n v="51.94"/>
    <n v="103.87"/>
    <x v="33"/>
    <x v="33"/>
    <s v="Oct 2025"/>
  </r>
  <r>
    <n v="1414"/>
    <x v="399"/>
    <s v="Accessory 2"/>
    <n v="4"/>
    <x v="2"/>
    <n v="12.07"/>
    <n v="48.27"/>
    <x v="33"/>
    <x v="33"/>
    <s v="Oct 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AD5B4F-4661-437E-B2BA-92FCFBA49F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J3:K8" firstHeaderRow="1" firstDataRow="1" firstDataCol="1"/>
  <pivotFields count="10">
    <pivotField showAll="0"/>
    <pivotField numFmtId="164"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pivotField showAll="0"/>
    <pivotField axis="axisRow" showAll="0">
      <items count="5">
        <item x="2"/>
        <item x="1"/>
        <item x="0"/>
        <item x="3"/>
        <item t="default"/>
      </items>
    </pivotField>
    <pivotField showAll="0"/>
    <pivotField dataField="1" showAll="0"/>
    <pivotField showAll="0">
      <items count="35">
        <item h="1" x="0"/>
        <item h="1" x="1"/>
        <item h="1" x="2"/>
        <item h="1" x="3"/>
        <item h="1" x="4"/>
        <item h="1" x="5"/>
        <item h="1" x="6"/>
        <item h="1" x="7"/>
        <item h="1" x="8"/>
        <item h="1" x="9"/>
        <item h="1" x="10"/>
        <item h="1" x="11"/>
        <item h="1" x="12"/>
        <item h="1" x="13"/>
        <item h="1" x="14"/>
        <item h="1" x="15"/>
        <item h="1" x="16"/>
        <item h="1" x="17"/>
        <item h="1" x="18"/>
        <item h="1" x="19"/>
        <item h="1" x="20"/>
        <item h="1" x="21"/>
        <item x="22"/>
        <item h="1" x="23"/>
        <item h="1" x="24"/>
        <item h="1" x="25"/>
        <item h="1" x="26"/>
        <item h="1" x="27"/>
        <item h="1" x="28"/>
        <item h="1" x="29"/>
        <item h="1" x="30"/>
        <item h="1" x="31"/>
        <item h="1" x="32"/>
        <item h="1" x="33"/>
        <item t="default"/>
      </items>
    </pivotField>
    <pivotField showAll="0">
      <items count="35">
        <item sd="0" x="3"/>
        <item sd="0" x="15"/>
        <item sd="0" x="27"/>
        <item sd="0" x="7"/>
        <item sd="0" x="19"/>
        <item sd="0" x="31"/>
        <item sd="0" x="11"/>
        <item sd="0" x="23"/>
        <item sd="0" x="1"/>
        <item sd="0" x="13"/>
        <item sd="0" x="25"/>
        <item sd="0" x="0"/>
        <item sd="0" x="12"/>
        <item sd="0" x="24"/>
        <item sd="0" x="6"/>
        <item sd="0" x="18"/>
        <item sd="0" x="30"/>
        <item sd="0" x="5"/>
        <item sd="0" x="17"/>
        <item sd="0" x="29"/>
        <item sd="0" x="2"/>
        <item sd="0" x="14"/>
        <item sd="0" x="26"/>
        <item sd="0" x="4"/>
        <item sd="0" x="16"/>
        <item sd="0" x="28"/>
        <item sd="0" x="10"/>
        <item sd="0" x="22"/>
        <item sd="0" x="9"/>
        <item sd="0" x="21"/>
        <item sd="0" x="33"/>
        <item sd="0" x="8"/>
        <item sd="0" x="20"/>
        <item sd="0" x="32"/>
        <item t="default" sd="0"/>
      </items>
    </pivotField>
    <pivotField showAll="0"/>
  </pivotFields>
  <rowFields count="1">
    <field x="4"/>
  </rowFields>
  <rowItems count="5">
    <i>
      <x/>
    </i>
    <i>
      <x v="1"/>
    </i>
    <i>
      <x v="2"/>
    </i>
    <i>
      <x v="3"/>
    </i>
    <i t="grand">
      <x/>
    </i>
  </rowItems>
  <colItems count="1">
    <i/>
  </colItems>
  <dataFields count="1">
    <dataField name="Sum of Sales" fld="6" baseField="0" baseItem="0"/>
  </dataFields>
  <formats count="3">
    <format dxfId="2">
      <pivotArea field="8" type="button" dataOnly="0" labelOnly="1" outline="0"/>
    </format>
    <format dxfId="1">
      <pivotArea field="4" type="button" dataOnly="0" labelOnly="1" outline="0" axis="axisRow" fieldPosition="0"/>
    </format>
    <format dxfId="0">
      <pivotArea dataOnly="0" labelOnly="1" outline="0" axis="axisValues" fieldPosition="0"/>
    </format>
  </formats>
  <chartFormats count="6">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4" count="1" selected="0">
            <x v="0"/>
          </reference>
        </references>
      </pivotArea>
    </chartFormat>
    <chartFormat chart="41" format="4">
      <pivotArea type="data" outline="0" fieldPosition="0">
        <references count="2">
          <reference field="4294967294" count="1" selected="0">
            <x v="0"/>
          </reference>
          <reference field="4" count="1" selected="0">
            <x v="1"/>
          </reference>
        </references>
      </pivotArea>
    </chartFormat>
    <chartFormat chart="41" format="5">
      <pivotArea type="data" outline="0" fieldPosition="0">
        <references count="2">
          <reference field="4294967294" count="1" selected="0">
            <x v="0"/>
          </reference>
          <reference field="4" count="1" selected="0">
            <x v="2"/>
          </reference>
        </references>
      </pivotArea>
    </chartFormat>
    <chartFormat chart="41" format="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A6F9F-C452-4603-B4B7-F619D2F679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3:G38" firstHeaderRow="1" firstDataRow="1" firstDataCol="1"/>
  <pivotFields count="10">
    <pivotField dataField="1" showAll="0"/>
    <pivotField numFmtId="164"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pivotField showAll="0"/>
    <pivotField showAll="0">
      <items count="5">
        <item x="2"/>
        <item x="1"/>
        <item x="0"/>
        <item x="3"/>
        <item t="default"/>
      </items>
    </pivotField>
    <pivotField showAll="0"/>
    <pivotField showAll="0"/>
    <pivotField showAll="0"/>
    <pivotField axis="axisRow" showAll="0" sortType="ascending">
      <items count="35">
        <item sd="0" x="3"/>
        <item sd="0" x="15"/>
        <item sd="0" x="27"/>
        <item sd="0" x="7"/>
        <item sd="0" x="19"/>
        <item sd="0" x="31"/>
        <item sd="0" x="11"/>
        <item sd="0" x="23"/>
        <item sd="0" x="1"/>
        <item sd="0" x="13"/>
        <item sd="0" x="25"/>
        <item sd="0" x="0"/>
        <item sd="0" x="12"/>
        <item sd="0" x="24"/>
        <item sd="0" x="6"/>
        <item sd="0" x="18"/>
        <item sd="0" x="30"/>
        <item sd="0" x="5"/>
        <item sd="0" x="17"/>
        <item sd="0" x="29"/>
        <item sd="0" x="2"/>
        <item sd="0" x="14"/>
        <item sd="0" x="26"/>
        <item sd="0" x="4"/>
        <item sd="0" x="16"/>
        <item sd="0" x="28"/>
        <item sd="0" x="10"/>
        <item sd="0" x="22"/>
        <item sd="0" x="9"/>
        <item sd="0" x="21"/>
        <item sd="0" x="33"/>
        <item sd="0" x="8"/>
        <item sd="0" x="20"/>
        <item sd="0" x="32"/>
        <item t="default" sd="0"/>
      </items>
      <autoSortScope>
        <pivotArea dataOnly="0" outline="0" fieldPosition="0">
          <references count="1">
            <reference field="4294967294" count="1" selected="0">
              <x v="0"/>
            </reference>
          </references>
        </pivotArea>
      </autoSortScope>
    </pivotField>
    <pivotField showAll="0"/>
  </pivotFields>
  <rowFields count="1">
    <field x="8"/>
  </rowFields>
  <rowItems count="35">
    <i>
      <x v="26"/>
    </i>
    <i>
      <x v="20"/>
    </i>
    <i>
      <x v="18"/>
    </i>
    <i>
      <x v="4"/>
    </i>
    <i>
      <x v="28"/>
    </i>
    <i>
      <x v="33"/>
    </i>
    <i>
      <x v="6"/>
    </i>
    <i>
      <x v="3"/>
    </i>
    <i>
      <x v="32"/>
    </i>
    <i>
      <x v="23"/>
    </i>
    <i>
      <x v="8"/>
    </i>
    <i>
      <x v="16"/>
    </i>
    <i>
      <x v="31"/>
    </i>
    <i>
      <x/>
    </i>
    <i>
      <x v="7"/>
    </i>
    <i>
      <x v="14"/>
    </i>
    <i>
      <x v="10"/>
    </i>
    <i>
      <x v="21"/>
    </i>
    <i>
      <x v="1"/>
    </i>
    <i>
      <x v="12"/>
    </i>
    <i>
      <x v="15"/>
    </i>
    <i>
      <x v="17"/>
    </i>
    <i>
      <x v="2"/>
    </i>
    <i>
      <x v="11"/>
    </i>
    <i>
      <x v="9"/>
    </i>
    <i>
      <x v="19"/>
    </i>
    <i>
      <x v="22"/>
    </i>
    <i>
      <x v="29"/>
    </i>
    <i>
      <x v="24"/>
    </i>
    <i>
      <x v="27"/>
    </i>
    <i>
      <x v="13"/>
    </i>
    <i>
      <x v="30"/>
    </i>
    <i>
      <x v="25"/>
    </i>
    <i>
      <x v="5"/>
    </i>
    <i t="grand">
      <x/>
    </i>
  </rowItems>
  <colItems count="1">
    <i/>
  </colItems>
  <dataFields count="1">
    <dataField name="Sum of OrderID" fld="0" baseField="0" baseItem="0"/>
  </dataFields>
  <formats count="4">
    <format dxfId="6">
      <pivotArea field="8" type="button" dataOnly="0" labelOnly="1" outline="0" axis="axisRow" fieldPosition="0"/>
    </format>
    <format dxfId="5">
      <pivotArea dataOnly="0" labelOnly="1" outline="0" axis="axisValues" fieldPosition="0"/>
    </format>
    <format dxfId="4">
      <pivotArea dataOnly="0" fieldPosition="0">
        <references count="1">
          <reference field="8" count="0"/>
        </references>
      </pivotArea>
    </format>
    <format dxfId="3">
      <pivotArea dataOnly="0" fieldPosition="0">
        <references count="1">
          <reference field="8" count="0"/>
        </references>
      </pivotArea>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18DDE-47C7-4D8C-A333-7D113117AF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C38" firstHeaderRow="1" firstDataRow="1" firstDataCol="1"/>
  <pivotFields count="10">
    <pivotField showAll="0"/>
    <pivotField numFmtId="164" showAll="0"/>
    <pivotField showAll="0"/>
    <pivotField showAll="0"/>
    <pivotField showAll="0"/>
    <pivotField showAll="0"/>
    <pivotField dataField="1" showAll="0"/>
    <pivotField showAll="0"/>
    <pivotField axis="axisRow" showAll="0">
      <items count="35">
        <item x="3"/>
        <item x="15"/>
        <item x="27"/>
        <item x="7"/>
        <item x="19"/>
        <item x="31"/>
        <item x="11"/>
        <item x="23"/>
        <item x="1"/>
        <item x="13"/>
        <item x="25"/>
        <item x="0"/>
        <item x="12"/>
        <item x="24"/>
        <item x="6"/>
        <item x="18"/>
        <item x="30"/>
        <item x="5"/>
        <item x="17"/>
        <item x="29"/>
        <item x="2"/>
        <item x="14"/>
        <item x="26"/>
        <item x="4"/>
        <item x="16"/>
        <item x="28"/>
        <item x="10"/>
        <item x="22"/>
        <item x="9"/>
        <item x="21"/>
        <item x="33"/>
        <item x="8"/>
        <item x="20"/>
        <item x="32"/>
        <item t="default"/>
      </items>
    </pivotField>
    <pivotField showAl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Sales" fld="6" baseField="8" baseItem="0"/>
  </dataFields>
  <formats count="4">
    <format dxfId="10">
      <pivotArea field="8" type="button" dataOnly="0" labelOnly="1" outline="0" axis="axisRow" fieldPosition="0"/>
    </format>
    <format dxfId="9">
      <pivotArea dataOnly="0" labelOnly="1" outline="0" axis="axisValues" fieldPosition="0"/>
    </format>
    <format dxfId="8">
      <pivotArea dataOnly="0" fieldPosition="0">
        <references count="1">
          <reference field="8" count="0"/>
        </references>
      </pivotArea>
    </format>
    <format dxfId="7">
      <pivotArea dataOnly="0" fieldPosition="0">
        <references count="1">
          <reference field="8" count="0"/>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 xr10:uid="{02C3F71F-FB6D-4150-80CD-9E2013A8D08C}" sourceName="YearMonth">
  <pivotTables>
    <pivotTable tabId="2" name="PivotTable4"/>
  </pivotTables>
  <data>
    <tabular pivotCacheId="535037153">
      <items count="34">
        <i x="0"/>
        <i x="1"/>
        <i x="2"/>
        <i x="3"/>
        <i x="4"/>
        <i x="5"/>
        <i x="6"/>
        <i x="7"/>
        <i x="8"/>
        <i x="9"/>
        <i x="10"/>
        <i x="11"/>
        <i x="12"/>
        <i x="13"/>
        <i x="14"/>
        <i x="15"/>
        <i x="16"/>
        <i x="17"/>
        <i x="18"/>
        <i x="19"/>
        <i x="20"/>
        <i x="21"/>
        <i x="22" s="1"/>
        <i x="23"/>
        <i x="24"/>
        <i x="25"/>
        <i x="26"/>
        <i x="27"/>
        <i x="28"/>
        <i x="29"/>
        <i x="30"/>
        <i x="31"/>
        <i x="32"/>
        <i x="3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05DB61A3-9909-4F7F-B9B2-E7F530052FCC}" cache="Slicer_YearMonth" caption="YearMonth" columnCount="3"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C285E-145F-4EE1-A21C-80E10EE8C6FB}">
  <sheetPr>
    <tabColor rgb="FFFF0000"/>
  </sheetPr>
  <dimension ref="A1:K502"/>
  <sheetViews>
    <sheetView zoomScale="65" zoomScaleNormal="70" workbookViewId="0">
      <selection activeCell="D4" sqref="D4"/>
    </sheetView>
  </sheetViews>
  <sheetFormatPr defaultRowHeight="14.4" x14ac:dyDescent="0.3"/>
  <cols>
    <col min="1" max="1" width="12.5546875" customWidth="1"/>
    <col min="2" max="2" width="17.6640625" customWidth="1"/>
    <col min="3" max="3" width="22" bestFit="1" customWidth="1"/>
    <col min="4" max="4" width="14.77734375" bestFit="1" customWidth="1"/>
    <col min="5" max="5" width="9.21875" bestFit="1" customWidth="1"/>
    <col min="6" max="6" width="9.21875" customWidth="1"/>
    <col min="7" max="7" width="12.5546875" customWidth="1"/>
    <col min="8" max="8" width="8.77734375" customWidth="1"/>
    <col min="9" max="9" width="13.33203125" customWidth="1"/>
    <col min="10" max="10" width="19.33203125" customWidth="1"/>
    <col min="11" max="11" width="14.21875" customWidth="1"/>
  </cols>
  <sheetData>
    <row r="1" spans="1:11" ht="47.4" customHeight="1" x14ac:dyDescent="0.3">
      <c r="A1" s="5"/>
    </row>
    <row r="2" spans="1:11" ht="49.2" customHeight="1" x14ac:dyDescent="0.3">
      <c r="A2" s="5"/>
      <c r="B2" s="7" t="s">
        <v>0</v>
      </c>
      <c r="C2" s="7" t="s">
        <v>1</v>
      </c>
      <c r="D2" s="7" t="s">
        <v>2</v>
      </c>
      <c r="E2" s="7" t="s">
        <v>3</v>
      </c>
      <c r="F2" s="7" t="s">
        <v>4</v>
      </c>
      <c r="G2" s="7" t="s">
        <v>5</v>
      </c>
      <c r="H2" s="7" t="s">
        <v>6</v>
      </c>
      <c r="I2" s="7" t="s">
        <v>7</v>
      </c>
      <c r="J2" s="7" t="s">
        <v>122</v>
      </c>
      <c r="K2" s="7" t="s">
        <v>8</v>
      </c>
    </row>
    <row r="3" spans="1:11" ht="15.6" x14ac:dyDescent="0.3">
      <c r="A3" s="5"/>
      <c r="B3" s="1">
        <v>1175</v>
      </c>
      <c r="C3" s="2">
        <v>44928</v>
      </c>
      <c r="D3" s="1" t="s">
        <v>9</v>
      </c>
      <c r="E3" s="1">
        <v>4</v>
      </c>
      <c r="F3" s="1" t="s">
        <v>10</v>
      </c>
      <c r="G3" s="1">
        <v>63.73</v>
      </c>
      <c r="H3" s="1">
        <v>254.91</v>
      </c>
      <c r="I3" s="1" t="s">
        <v>11</v>
      </c>
      <c r="J3" s="1" t="s">
        <v>12</v>
      </c>
      <c r="K3" s="1" t="s">
        <v>13</v>
      </c>
    </row>
    <row r="4" spans="1:11" ht="15.6" x14ac:dyDescent="0.3">
      <c r="A4" s="5"/>
      <c r="B4" s="3">
        <v>1133</v>
      </c>
      <c r="C4" s="4">
        <v>44928</v>
      </c>
      <c r="D4" s="3" t="s">
        <v>14</v>
      </c>
      <c r="E4" s="3">
        <v>3</v>
      </c>
      <c r="F4" s="3" t="s">
        <v>15</v>
      </c>
      <c r="G4" s="3">
        <v>23.65</v>
      </c>
      <c r="H4" s="3">
        <v>70.95</v>
      </c>
      <c r="I4" s="3" t="s">
        <v>11</v>
      </c>
      <c r="J4" s="3" t="s">
        <v>12</v>
      </c>
      <c r="K4" s="3" t="s">
        <v>13</v>
      </c>
    </row>
    <row r="5" spans="1:11" ht="15.6" x14ac:dyDescent="0.3">
      <c r="A5" s="5"/>
      <c r="B5" s="1">
        <v>1285</v>
      </c>
      <c r="C5" s="2">
        <v>44931</v>
      </c>
      <c r="D5" s="1" t="s">
        <v>16</v>
      </c>
      <c r="E5" s="1">
        <v>3</v>
      </c>
      <c r="F5" s="1" t="s">
        <v>10</v>
      </c>
      <c r="G5" s="1">
        <v>24.84</v>
      </c>
      <c r="H5" s="1">
        <v>74.510000000000005</v>
      </c>
      <c r="I5" s="1" t="s">
        <v>11</v>
      </c>
      <c r="J5" s="1" t="s">
        <v>12</v>
      </c>
      <c r="K5" s="1" t="s">
        <v>13</v>
      </c>
    </row>
    <row r="6" spans="1:11" ht="15.6" x14ac:dyDescent="0.3">
      <c r="A6" s="5"/>
      <c r="B6" s="3">
        <v>1180</v>
      </c>
      <c r="C6" s="4">
        <v>44935</v>
      </c>
      <c r="D6" s="3" t="s">
        <v>17</v>
      </c>
      <c r="E6" s="3">
        <v>4</v>
      </c>
      <c r="F6" s="3" t="s">
        <v>15</v>
      </c>
      <c r="G6" s="3">
        <v>19.46</v>
      </c>
      <c r="H6" s="3">
        <v>77.849999999999994</v>
      </c>
      <c r="I6" s="3" t="s">
        <v>11</v>
      </c>
      <c r="J6" s="3" t="s">
        <v>12</v>
      </c>
      <c r="K6" s="3" t="s">
        <v>13</v>
      </c>
    </row>
    <row r="7" spans="1:11" ht="15.6" x14ac:dyDescent="0.3">
      <c r="A7" s="5"/>
      <c r="B7" s="1">
        <v>1491</v>
      </c>
      <c r="C7" s="2">
        <v>44936</v>
      </c>
      <c r="D7" s="1" t="s">
        <v>16</v>
      </c>
      <c r="E7" s="1">
        <v>3</v>
      </c>
      <c r="F7" s="1" t="s">
        <v>18</v>
      </c>
      <c r="G7" s="1">
        <v>23.78</v>
      </c>
      <c r="H7" s="1">
        <v>71.33</v>
      </c>
      <c r="I7" s="1" t="s">
        <v>11</v>
      </c>
      <c r="J7" s="1" t="s">
        <v>12</v>
      </c>
      <c r="K7" s="1" t="s">
        <v>13</v>
      </c>
    </row>
    <row r="8" spans="1:11" ht="15.6" x14ac:dyDescent="0.3">
      <c r="A8" s="5"/>
      <c r="B8" s="3">
        <v>1352</v>
      </c>
      <c r="C8" s="4">
        <v>44938</v>
      </c>
      <c r="D8" s="3" t="s">
        <v>19</v>
      </c>
      <c r="E8" s="3">
        <v>2</v>
      </c>
      <c r="F8" s="3" t="s">
        <v>15</v>
      </c>
      <c r="G8" s="3">
        <v>34.69</v>
      </c>
      <c r="H8" s="3">
        <v>69.39</v>
      </c>
      <c r="I8" s="3" t="s">
        <v>11</v>
      </c>
      <c r="J8" s="3" t="s">
        <v>12</v>
      </c>
      <c r="K8" s="3" t="s">
        <v>13</v>
      </c>
    </row>
    <row r="9" spans="1:11" ht="15.6" x14ac:dyDescent="0.3">
      <c r="A9" s="5"/>
      <c r="B9" s="1">
        <v>1035</v>
      </c>
      <c r="C9" s="2">
        <v>44940</v>
      </c>
      <c r="D9" s="1" t="s">
        <v>20</v>
      </c>
      <c r="E9" s="1">
        <v>4</v>
      </c>
      <c r="F9" s="1" t="s">
        <v>18</v>
      </c>
      <c r="G9" s="1">
        <v>7.59</v>
      </c>
      <c r="H9" s="1">
        <v>30.36</v>
      </c>
      <c r="I9" s="1" t="s">
        <v>11</v>
      </c>
      <c r="J9" s="1" t="s">
        <v>12</v>
      </c>
      <c r="K9" s="1" t="s">
        <v>13</v>
      </c>
    </row>
    <row r="10" spans="1:11" ht="15.6" x14ac:dyDescent="0.3">
      <c r="A10" s="5"/>
      <c r="B10" s="3">
        <v>1069</v>
      </c>
      <c r="C10" s="4">
        <v>44941</v>
      </c>
      <c r="D10" s="3" t="s">
        <v>17</v>
      </c>
      <c r="E10" s="3">
        <v>5</v>
      </c>
      <c r="F10" s="3" t="s">
        <v>21</v>
      </c>
      <c r="G10" s="3">
        <v>18.690000000000001</v>
      </c>
      <c r="H10" s="3">
        <v>93.46</v>
      </c>
      <c r="I10" s="3" t="s">
        <v>11</v>
      </c>
      <c r="J10" s="3" t="s">
        <v>12</v>
      </c>
      <c r="K10" s="3" t="s">
        <v>13</v>
      </c>
    </row>
    <row r="11" spans="1:11" ht="15.6" x14ac:dyDescent="0.3">
      <c r="A11" s="5"/>
      <c r="B11" s="1">
        <v>1224</v>
      </c>
      <c r="C11" s="2">
        <v>44943</v>
      </c>
      <c r="D11" s="1" t="s">
        <v>14</v>
      </c>
      <c r="E11" s="1">
        <v>3</v>
      </c>
      <c r="F11" s="1" t="s">
        <v>10</v>
      </c>
      <c r="G11" s="1">
        <v>23.03</v>
      </c>
      <c r="H11" s="1">
        <v>69.09</v>
      </c>
      <c r="I11" s="1" t="s">
        <v>11</v>
      </c>
      <c r="J11" s="1" t="s">
        <v>12</v>
      </c>
      <c r="K11" s="1" t="s">
        <v>13</v>
      </c>
    </row>
    <row r="12" spans="1:11" ht="15.6" x14ac:dyDescent="0.3">
      <c r="A12" s="5"/>
      <c r="B12" s="3">
        <v>1241</v>
      </c>
      <c r="C12" s="4">
        <v>44944</v>
      </c>
      <c r="D12" s="3" t="s">
        <v>22</v>
      </c>
      <c r="E12" s="3">
        <v>3</v>
      </c>
      <c r="F12" s="3" t="s">
        <v>18</v>
      </c>
      <c r="G12" s="3">
        <v>10.68</v>
      </c>
      <c r="H12" s="3">
        <v>32.03</v>
      </c>
      <c r="I12" s="3" t="s">
        <v>11</v>
      </c>
      <c r="J12" s="3" t="s">
        <v>12</v>
      </c>
      <c r="K12" s="3" t="s">
        <v>13</v>
      </c>
    </row>
    <row r="13" spans="1:11" ht="15.6" x14ac:dyDescent="0.3">
      <c r="A13" s="5"/>
      <c r="B13" s="1">
        <v>1261</v>
      </c>
      <c r="C13" s="2">
        <v>44946</v>
      </c>
      <c r="D13" s="1" t="s">
        <v>16</v>
      </c>
      <c r="E13" s="1">
        <v>6</v>
      </c>
      <c r="F13" s="1" t="s">
        <v>21</v>
      </c>
      <c r="G13" s="1">
        <v>26</v>
      </c>
      <c r="H13" s="1">
        <v>155.97999999999999</v>
      </c>
      <c r="I13" s="1" t="s">
        <v>11</v>
      </c>
      <c r="J13" s="1" t="s">
        <v>12</v>
      </c>
      <c r="K13" s="1" t="s">
        <v>13</v>
      </c>
    </row>
    <row r="14" spans="1:11" ht="15.6" x14ac:dyDescent="0.3">
      <c r="A14" s="5"/>
      <c r="B14" s="3">
        <v>1029</v>
      </c>
      <c r="C14" s="4">
        <v>44947</v>
      </c>
      <c r="D14" s="3" t="s">
        <v>23</v>
      </c>
      <c r="E14" s="3">
        <v>1</v>
      </c>
      <c r="F14" s="3" t="s">
        <v>15</v>
      </c>
      <c r="G14" s="3">
        <v>15.11</v>
      </c>
      <c r="H14" s="3">
        <v>15.11</v>
      </c>
      <c r="I14" s="3" t="s">
        <v>11</v>
      </c>
      <c r="J14" s="3" t="s">
        <v>12</v>
      </c>
      <c r="K14" s="3" t="s">
        <v>13</v>
      </c>
    </row>
    <row r="15" spans="1:11" ht="15.6" x14ac:dyDescent="0.3">
      <c r="A15" s="5"/>
      <c r="B15" s="1">
        <v>1014</v>
      </c>
      <c r="C15" s="2">
        <v>44948</v>
      </c>
      <c r="D15" s="1" t="s">
        <v>16</v>
      </c>
      <c r="E15" s="1">
        <v>4</v>
      </c>
      <c r="F15" s="1" t="s">
        <v>10</v>
      </c>
      <c r="G15" s="1">
        <v>27.1</v>
      </c>
      <c r="H15" s="1">
        <v>108.41</v>
      </c>
      <c r="I15" s="1" t="s">
        <v>11</v>
      </c>
      <c r="J15" s="1" t="s">
        <v>12</v>
      </c>
      <c r="K15" s="1" t="s">
        <v>13</v>
      </c>
    </row>
    <row r="16" spans="1:11" ht="15.6" x14ac:dyDescent="0.3">
      <c r="A16" s="5"/>
      <c r="B16" s="3">
        <v>1331</v>
      </c>
      <c r="C16" s="4">
        <v>44949</v>
      </c>
      <c r="D16" s="3" t="s">
        <v>24</v>
      </c>
      <c r="E16" s="3">
        <v>4</v>
      </c>
      <c r="F16" s="3" t="s">
        <v>18</v>
      </c>
      <c r="G16" s="3">
        <v>56.74</v>
      </c>
      <c r="H16" s="3">
        <v>226.98</v>
      </c>
      <c r="I16" s="3" t="s">
        <v>11</v>
      </c>
      <c r="J16" s="3" t="s">
        <v>12</v>
      </c>
      <c r="K16" s="3" t="s">
        <v>13</v>
      </c>
    </row>
    <row r="17" spans="1:11" ht="15.6" x14ac:dyDescent="0.3">
      <c r="A17" s="5"/>
      <c r="B17" s="1">
        <v>1213</v>
      </c>
      <c r="C17" s="2">
        <v>44953</v>
      </c>
      <c r="D17" s="1" t="s">
        <v>22</v>
      </c>
      <c r="E17" s="1">
        <v>2</v>
      </c>
      <c r="F17" s="1" t="s">
        <v>10</v>
      </c>
      <c r="G17" s="1">
        <v>11.69</v>
      </c>
      <c r="H17" s="1">
        <v>23.37</v>
      </c>
      <c r="I17" s="1" t="s">
        <v>11</v>
      </c>
      <c r="J17" s="1" t="s">
        <v>12</v>
      </c>
      <c r="K17" s="1" t="s">
        <v>13</v>
      </c>
    </row>
    <row r="18" spans="1:11" ht="15.6" x14ac:dyDescent="0.3">
      <c r="A18" s="5"/>
      <c r="B18" s="3">
        <v>1422</v>
      </c>
      <c r="C18" s="4">
        <v>44955</v>
      </c>
      <c r="D18" s="3" t="s">
        <v>22</v>
      </c>
      <c r="E18" s="3">
        <v>7</v>
      </c>
      <c r="F18" s="3" t="s">
        <v>10</v>
      </c>
      <c r="G18" s="3">
        <v>12.22</v>
      </c>
      <c r="H18" s="3">
        <v>85.56</v>
      </c>
      <c r="I18" s="3" t="s">
        <v>11</v>
      </c>
      <c r="J18" s="3" t="s">
        <v>12</v>
      </c>
      <c r="K18" s="3" t="s">
        <v>13</v>
      </c>
    </row>
    <row r="19" spans="1:11" ht="15.6" x14ac:dyDescent="0.3">
      <c r="A19" s="5"/>
      <c r="B19" s="1">
        <v>1355</v>
      </c>
      <c r="C19" s="2">
        <v>44961</v>
      </c>
      <c r="D19" s="1" t="s">
        <v>14</v>
      </c>
      <c r="E19" s="1">
        <v>4</v>
      </c>
      <c r="F19" s="1" t="s">
        <v>18</v>
      </c>
      <c r="G19" s="1">
        <v>22.14</v>
      </c>
      <c r="H19" s="1">
        <v>88.58</v>
      </c>
      <c r="I19" s="1" t="s">
        <v>25</v>
      </c>
      <c r="J19" s="1" t="s">
        <v>26</v>
      </c>
      <c r="K19" s="1" t="s">
        <v>27</v>
      </c>
    </row>
    <row r="20" spans="1:11" ht="15.6" x14ac:dyDescent="0.3">
      <c r="A20" s="5"/>
      <c r="B20" s="3">
        <v>1044</v>
      </c>
      <c r="C20" s="4">
        <v>44961</v>
      </c>
      <c r="D20" s="3" t="s">
        <v>23</v>
      </c>
      <c r="E20" s="3">
        <v>5</v>
      </c>
      <c r="F20" s="3" t="s">
        <v>21</v>
      </c>
      <c r="G20" s="3">
        <v>13.32</v>
      </c>
      <c r="H20" s="3">
        <v>66.58</v>
      </c>
      <c r="I20" s="3" t="s">
        <v>25</v>
      </c>
      <c r="J20" s="3" t="s">
        <v>26</v>
      </c>
      <c r="K20" s="3" t="s">
        <v>27</v>
      </c>
    </row>
    <row r="21" spans="1:11" ht="15.6" x14ac:dyDescent="0.3">
      <c r="A21" s="5"/>
      <c r="B21" s="1">
        <v>1259</v>
      </c>
      <c r="C21" s="2">
        <v>44962</v>
      </c>
      <c r="D21" s="1" t="s">
        <v>28</v>
      </c>
      <c r="E21" s="1">
        <v>6</v>
      </c>
      <c r="F21" s="1" t="s">
        <v>10</v>
      </c>
      <c r="G21" s="1">
        <v>46.84</v>
      </c>
      <c r="H21" s="1">
        <v>281.02999999999997</v>
      </c>
      <c r="I21" s="1" t="s">
        <v>25</v>
      </c>
      <c r="J21" s="1" t="s">
        <v>26</v>
      </c>
      <c r="K21" s="1" t="s">
        <v>27</v>
      </c>
    </row>
    <row r="22" spans="1:11" ht="15.6" x14ac:dyDescent="0.3">
      <c r="A22" s="5"/>
      <c r="B22" s="3">
        <v>1380</v>
      </c>
      <c r="C22" s="4">
        <v>44963</v>
      </c>
      <c r="D22" s="3" t="s">
        <v>16</v>
      </c>
      <c r="E22" s="3">
        <v>1</v>
      </c>
      <c r="F22" s="3" t="s">
        <v>15</v>
      </c>
      <c r="G22" s="3">
        <v>23.27</v>
      </c>
      <c r="H22" s="3">
        <v>23.27</v>
      </c>
      <c r="I22" s="3" t="s">
        <v>25</v>
      </c>
      <c r="J22" s="3" t="s">
        <v>26</v>
      </c>
      <c r="K22" s="3" t="s">
        <v>27</v>
      </c>
    </row>
    <row r="23" spans="1:11" ht="15.6" x14ac:dyDescent="0.3">
      <c r="A23" s="5"/>
      <c r="B23" s="1">
        <v>1209</v>
      </c>
      <c r="C23" s="2">
        <v>44964</v>
      </c>
      <c r="D23" s="1" t="s">
        <v>28</v>
      </c>
      <c r="E23" s="1">
        <v>3</v>
      </c>
      <c r="F23" s="1" t="s">
        <v>21</v>
      </c>
      <c r="G23" s="1">
        <v>42.36</v>
      </c>
      <c r="H23" s="1">
        <v>127.07</v>
      </c>
      <c r="I23" s="1" t="s">
        <v>25</v>
      </c>
      <c r="J23" s="1" t="s">
        <v>26</v>
      </c>
      <c r="K23" s="1" t="s">
        <v>27</v>
      </c>
    </row>
    <row r="24" spans="1:11" ht="15.6" x14ac:dyDescent="0.3">
      <c r="A24" s="5"/>
      <c r="B24" s="3">
        <v>1432</v>
      </c>
      <c r="C24" s="4">
        <v>44965</v>
      </c>
      <c r="D24" s="3" t="s">
        <v>24</v>
      </c>
      <c r="E24" s="3">
        <v>6</v>
      </c>
      <c r="F24" s="3" t="s">
        <v>21</v>
      </c>
      <c r="G24" s="3">
        <v>55.03</v>
      </c>
      <c r="H24" s="3">
        <v>330.17</v>
      </c>
      <c r="I24" s="3" t="s">
        <v>25</v>
      </c>
      <c r="J24" s="3" t="s">
        <v>26</v>
      </c>
      <c r="K24" s="3" t="s">
        <v>27</v>
      </c>
    </row>
    <row r="25" spans="1:11" ht="15.6" x14ac:dyDescent="0.3">
      <c r="A25" s="5"/>
      <c r="B25" s="1">
        <v>1476</v>
      </c>
      <c r="C25" s="2">
        <v>44967</v>
      </c>
      <c r="D25" s="1" t="s">
        <v>23</v>
      </c>
      <c r="E25" s="1">
        <v>6</v>
      </c>
      <c r="F25" s="1" t="s">
        <v>18</v>
      </c>
      <c r="G25" s="1">
        <v>14.71</v>
      </c>
      <c r="H25" s="1">
        <v>88.23</v>
      </c>
      <c r="I25" s="1" t="s">
        <v>25</v>
      </c>
      <c r="J25" s="1" t="s">
        <v>26</v>
      </c>
      <c r="K25" s="1" t="s">
        <v>27</v>
      </c>
    </row>
    <row r="26" spans="1:11" ht="15.6" x14ac:dyDescent="0.3">
      <c r="A26" s="5"/>
      <c r="B26" s="3">
        <v>1080</v>
      </c>
      <c r="C26" s="4">
        <v>44967</v>
      </c>
      <c r="D26" s="3" t="s">
        <v>20</v>
      </c>
      <c r="E26" s="3">
        <v>3</v>
      </c>
      <c r="F26" s="3" t="s">
        <v>18</v>
      </c>
      <c r="G26" s="3">
        <v>8.33</v>
      </c>
      <c r="H26" s="3">
        <v>24.99</v>
      </c>
      <c r="I26" s="3" t="s">
        <v>25</v>
      </c>
      <c r="J26" s="3" t="s">
        <v>26</v>
      </c>
      <c r="K26" s="3" t="s">
        <v>27</v>
      </c>
    </row>
    <row r="27" spans="1:11" ht="15.6" x14ac:dyDescent="0.3">
      <c r="A27" s="5"/>
      <c r="B27" s="1">
        <v>1290</v>
      </c>
      <c r="C27" s="2">
        <v>44973</v>
      </c>
      <c r="D27" s="1" t="s">
        <v>28</v>
      </c>
      <c r="E27" s="1">
        <v>6</v>
      </c>
      <c r="F27" s="1" t="s">
        <v>10</v>
      </c>
      <c r="G27" s="1">
        <v>45.16</v>
      </c>
      <c r="H27" s="1">
        <v>270.98</v>
      </c>
      <c r="I27" s="1" t="s">
        <v>25</v>
      </c>
      <c r="J27" s="1" t="s">
        <v>26</v>
      </c>
      <c r="K27" s="1" t="s">
        <v>27</v>
      </c>
    </row>
    <row r="28" spans="1:11" ht="15.6" x14ac:dyDescent="0.3">
      <c r="A28" s="5"/>
      <c r="B28" s="3">
        <v>1458</v>
      </c>
      <c r="C28" s="4">
        <v>44973</v>
      </c>
      <c r="D28" s="3" t="s">
        <v>24</v>
      </c>
      <c r="E28" s="3">
        <v>5</v>
      </c>
      <c r="F28" s="3" t="s">
        <v>21</v>
      </c>
      <c r="G28" s="3">
        <v>57.35</v>
      </c>
      <c r="H28" s="3">
        <v>286.74</v>
      </c>
      <c r="I28" s="3" t="s">
        <v>25</v>
      </c>
      <c r="J28" s="3" t="s">
        <v>26</v>
      </c>
      <c r="K28" s="3" t="s">
        <v>27</v>
      </c>
    </row>
    <row r="29" spans="1:11" ht="15.6" x14ac:dyDescent="0.3">
      <c r="A29" s="5"/>
      <c r="B29" s="1">
        <v>1271</v>
      </c>
      <c r="C29" s="2">
        <v>44977</v>
      </c>
      <c r="D29" s="1" t="s">
        <v>14</v>
      </c>
      <c r="E29" s="1">
        <v>5</v>
      </c>
      <c r="F29" s="1" t="s">
        <v>21</v>
      </c>
      <c r="G29" s="1">
        <v>21.81</v>
      </c>
      <c r="H29" s="1">
        <v>109.06</v>
      </c>
      <c r="I29" s="1" t="s">
        <v>25</v>
      </c>
      <c r="J29" s="1" t="s">
        <v>26</v>
      </c>
      <c r="K29" s="1" t="s">
        <v>27</v>
      </c>
    </row>
    <row r="30" spans="1:11" ht="15.6" x14ac:dyDescent="0.3">
      <c r="A30" s="5"/>
      <c r="B30" s="3">
        <v>1185</v>
      </c>
      <c r="C30" s="4">
        <v>44980</v>
      </c>
      <c r="D30" s="3" t="s">
        <v>17</v>
      </c>
      <c r="E30" s="3">
        <v>5</v>
      </c>
      <c r="F30" s="3" t="s">
        <v>18</v>
      </c>
      <c r="G30" s="3">
        <v>19.399999999999999</v>
      </c>
      <c r="H30" s="3">
        <v>97.01</v>
      </c>
      <c r="I30" s="3" t="s">
        <v>25</v>
      </c>
      <c r="J30" s="3" t="s">
        <v>26</v>
      </c>
      <c r="K30" s="3" t="s">
        <v>27</v>
      </c>
    </row>
    <row r="31" spans="1:11" ht="15.6" x14ac:dyDescent="0.3">
      <c r="A31" s="5"/>
      <c r="B31" s="1">
        <v>1449</v>
      </c>
      <c r="C31" s="2">
        <v>44984</v>
      </c>
      <c r="D31" s="1" t="s">
        <v>23</v>
      </c>
      <c r="E31" s="1">
        <v>6</v>
      </c>
      <c r="F31" s="1" t="s">
        <v>10</v>
      </c>
      <c r="G31" s="1">
        <v>15.83</v>
      </c>
      <c r="H31" s="1">
        <v>94.96</v>
      </c>
      <c r="I31" s="1" t="s">
        <v>25</v>
      </c>
      <c r="J31" s="1" t="s">
        <v>26</v>
      </c>
      <c r="K31" s="1" t="s">
        <v>27</v>
      </c>
    </row>
    <row r="32" spans="1:11" ht="15.6" x14ac:dyDescent="0.3">
      <c r="A32" s="5"/>
      <c r="B32" s="3">
        <v>1385</v>
      </c>
      <c r="C32" s="4">
        <v>44988</v>
      </c>
      <c r="D32" s="3" t="s">
        <v>14</v>
      </c>
      <c r="E32" s="3">
        <v>4</v>
      </c>
      <c r="F32" s="3" t="s">
        <v>10</v>
      </c>
      <c r="G32" s="3">
        <v>22.16</v>
      </c>
      <c r="H32" s="3">
        <v>88.62</v>
      </c>
      <c r="I32" s="3" t="s">
        <v>29</v>
      </c>
      <c r="J32" s="3" t="s">
        <v>30</v>
      </c>
      <c r="K32" s="3" t="s">
        <v>31</v>
      </c>
    </row>
    <row r="33" spans="1:11" ht="15.6" x14ac:dyDescent="0.3">
      <c r="A33" s="5"/>
      <c r="B33" s="1">
        <v>1070</v>
      </c>
      <c r="C33" s="2">
        <v>44991</v>
      </c>
      <c r="D33" s="1" t="s">
        <v>17</v>
      </c>
      <c r="E33" s="1">
        <v>6</v>
      </c>
      <c r="F33" s="1" t="s">
        <v>18</v>
      </c>
      <c r="G33" s="1">
        <v>17.57</v>
      </c>
      <c r="H33" s="1">
        <v>105.43</v>
      </c>
      <c r="I33" s="1" t="s">
        <v>29</v>
      </c>
      <c r="J33" s="1" t="s">
        <v>30</v>
      </c>
      <c r="K33" s="1" t="s">
        <v>31</v>
      </c>
    </row>
    <row r="34" spans="1:11" ht="15.6" x14ac:dyDescent="0.3">
      <c r="A34" s="5"/>
      <c r="B34" s="3">
        <v>1393</v>
      </c>
      <c r="C34" s="4">
        <v>45002</v>
      </c>
      <c r="D34" s="3" t="s">
        <v>28</v>
      </c>
      <c r="E34" s="3">
        <v>3</v>
      </c>
      <c r="F34" s="3" t="s">
        <v>21</v>
      </c>
      <c r="G34" s="3">
        <v>46.41</v>
      </c>
      <c r="H34" s="3">
        <v>139.24</v>
      </c>
      <c r="I34" s="3" t="s">
        <v>29</v>
      </c>
      <c r="J34" s="3" t="s">
        <v>30</v>
      </c>
      <c r="K34" s="3" t="s">
        <v>31</v>
      </c>
    </row>
    <row r="35" spans="1:11" ht="15.6" x14ac:dyDescent="0.3">
      <c r="A35" s="5"/>
      <c r="B35" s="1">
        <v>1454</v>
      </c>
      <c r="C35" s="2">
        <v>45006</v>
      </c>
      <c r="D35" s="1" t="s">
        <v>16</v>
      </c>
      <c r="E35" s="1">
        <v>5</v>
      </c>
      <c r="F35" s="1" t="s">
        <v>21</v>
      </c>
      <c r="G35" s="1">
        <v>24.19</v>
      </c>
      <c r="H35" s="1">
        <v>120.94</v>
      </c>
      <c r="I35" s="1" t="s">
        <v>29</v>
      </c>
      <c r="J35" s="1" t="s">
        <v>30</v>
      </c>
      <c r="K35" s="1" t="s">
        <v>31</v>
      </c>
    </row>
    <row r="36" spans="1:11" ht="15.6" x14ac:dyDescent="0.3">
      <c r="A36" s="5"/>
      <c r="B36" s="3">
        <v>1004</v>
      </c>
      <c r="C36" s="4">
        <v>45014</v>
      </c>
      <c r="D36" s="3" t="s">
        <v>19</v>
      </c>
      <c r="E36" s="3">
        <v>2</v>
      </c>
      <c r="F36" s="3" t="s">
        <v>10</v>
      </c>
      <c r="G36" s="3">
        <v>28.91</v>
      </c>
      <c r="H36" s="3">
        <v>57.83</v>
      </c>
      <c r="I36" s="3" t="s">
        <v>29</v>
      </c>
      <c r="J36" s="3" t="s">
        <v>30</v>
      </c>
      <c r="K36" s="3" t="s">
        <v>31</v>
      </c>
    </row>
    <row r="37" spans="1:11" ht="15.6" x14ac:dyDescent="0.3">
      <c r="A37" s="5"/>
      <c r="B37" s="1">
        <v>1358</v>
      </c>
      <c r="C37" s="2">
        <v>45016</v>
      </c>
      <c r="D37" s="1" t="s">
        <v>19</v>
      </c>
      <c r="E37" s="1">
        <v>2</v>
      </c>
      <c r="F37" s="1" t="s">
        <v>15</v>
      </c>
      <c r="G37" s="1">
        <v>35.4</v>
      </c>
      <c r="H37" s="1">
        <v>70.8</v>
      </c>
      <c r="I37" s="1" t="s">
        <v>29</v>
      </c>
      <c r="J37" s="1" t="s">
        <v>30</v>
      </c>
      <c r="K37" s="1" t="s">
        <v>31</v>
      </c>
    </row>
    <row r="38" spans="1:11" ht="15.6" x14ac:dyDescent="0.3">
      <c r="A38" s="5"/>
      <c r="B38" s="3">
        <v>1471</v>
      </c>
      <c r="C38" s="4">
        <v>45016</v>
      </c>
      <c r="D38" s="3" t="s">
        <v>22</v>
      </c>
      <c r="E38" s="3">
        <v>3</v>
      </c>
      <c r="F38" s="3" t="s">
        <v>10</v>
      </c>
      <c r="G38" s="3">
        <v>9.9700000000000006</v>
      </c>
      <c r="H38" s="3">
        <v>29.9</v>
      </c>
      <c r="I38" s="3" t="s">
        <v>29</v>
      </c>
      <c r="J38" s="3" t="s">
        <v>30</v>
      </c>
      <c r="K38" s="3" t="s">
        <v>31</v>
      </c>
    </row>
    <row r="39" spans="1:11" ht="15.6" x14ac:dyDescent="0.3">
      <c r="A39" s="5"/>
      <c r="B39" s="1">
        <v>1430</v>
      </c>
      <c r="C39" s="2">
        <v>45017</v>
      </c>
      <c r="D39" s="1" t="s">
        <v>9</v>
      </c>
      <c r="E39" s="1">
        <v>4</v>
      </c>
      <c r="F39" s="1" t="s">
        <v>15</v>
      </c>
      <c r="G39" s="1">
        <v>67.13</v>
      </c>
      <c r="H39" s="1">
        <v>268.51</v>
      </c>
      <c r="I39" s="1" t="s">
        <v>32</v>
      </c>
      <c r="J39" s="1" t="s">
        <v>33</v>
      </c>
      <c r="K39" s="1" t="s">
        <v>34</v>
      </c>
    </row>
    <row r="40" spans="1:11" ht="15.6" x14ac:dyDescent="0.3">
      <c r="A40" s="5"/>
      <c r="B40" s="3">
        <v>1040</v>
      </c>
      <c r="C40" s="4">
        <v>45018</v>
      </c>
      <c r="D40" s="3" t="s">
        <v>23</v>
      </c>
      <c r="E40" s="3">
        <v>6</v>
      </c>
      <c r="F40" s="3" t="s">
        <v>18</v>
      </c>
      <c r="G40" s="3">
        <v>15.52</v>
      </c>
      <c r="H40" s="3">
        <v>93.09</v>
      </c>
      <c r="I40" s="3" t="s">
        <v>32</v>
      </c>
      <c r="J40" s="3" t="s">
        <v>33</v>
      </c>
      <c r="K40" s="3" t="s">
        <v>34</v>
      </c>
    </row>
    <row r="41" spans="1:11" ht="15.6" x14ac:dyDescent="0.3">
      <c r="A41" s="5"/>
      <c r="B41" s="1">
        <v>1320</v>
      </c>
      <c r="C41" s="2">
        <v>45020</v>
      </c>
      <c r="D41" s="1" t="s">
        <v>19</v>
      </c>
      <c r="E41" s="1">
        <v>8</v>
      </c>
      <c r="F41" s="1" t="s">
        <v>21</v>
      </c>
      <c r="G41" s="1">
        <v>34.33</v>
      </c>
      <c r="H41" s="1">
        <v>274.67</v>
      </c>
      <c r="I41" s="1" t="s">
        <v>32</v>
      </c>
      <c r="J41" s="1" t="s">
        <v>33</v>
      </c>
      <c r="K41" s="1" t="s">
        <v>34</v>
      </c>
    </row>
    <row r="42" spans="1:11" ht="15.6" x14ac:dyDescent="0.3">
      <c r="A42" s="5"/>
      <c r="B42" s="3">
        <v>1378</v>
      </c>
      <c r="C42" s="4">
        <v>45022</v>
      </c>
      <c r="D42" s="3" t="s">
        <v>17</v>
      </c>
      <c r="E42" s="3">
        <v>6</v>
      </c>
      <c r="F42" s="3" t="s">
        <v>21</v>
      </c>
      <c r="G42" s="3">
        <v>17.899999999999999</v>
      </c>
      <c r="H42" s="3">
        <v>107.42</v>
      </c>
      <c r="I42" s="3" t="s">
        <v>32</v>
      </c>
      <c r="J42" s="3" t="s">
        <v>33</v>
      </c>
      <c r="K42" s="3" t="s">
        <v>34</v>
      </c>
    </row>
    <row r="43" spans="1:11" ht="15.6" x14ac:dyDescent="0.3">
      <c r="A43" s="5"/>
      <c r="B43" s="1">
        <v>1107</v>
      </c>
      <c r="C43" s="2">
        <v>45022</v>
      </c>
      <c r="D43" s="1" t="s">
        <v>16</v>
      </c>
      <c r="E43" s="1">
        <v>3</v>
      </c>
      <c r="F43" s="1" t="s">
        <v>18</v>
      </c>
      <c r="G43" s="1">
        <v>23.9</v>
      </c>
      <c r="H43" s="1">
        <v>71.709999999999994</v>
      </c>
      <c r="I43" s="1" t="s">
        <v>32</v>
      </c>
      <c r="J43" s="1" t="s">
        <v>33</v>
      </c>
      <c r="K43" s="1" t="s">
        <v>34</v>
      </c>
    </row>
    <row r="44" spans="1:11" ht="15.6" x14ac:dyDescent="0.3">
      <c r="A44" s="5"/>
      <c r="B44" s="3">
        <v>1191</v>
      </c>
      <c r="C44" s="4">
        <v>45025</v>
      </c>
      <c r="D44" s="3" t="s">
        <v>28</v>
      </c>
      <c r="E44" s="3">
        <v>5</v>
      </c>
      <c r="F44" s="3" t="s">
        <v>21</v>
      </c>
      <c r="G44" s="3">
        <v>46.03</v>
      </c>
      <c r="H44" s="3">
        <v>230.15</v>
      </c>
      <c r="I44" s="3" t="s">
        <v>32</v>
      </c>
      <c r="J44" s="3" t="s">
        <v>33</v>
      </c>
      <c r="K44" s="3" t="s">
        <v>34</v>
      </c>
    </row>
    <row r="45" spans="1:11" ht="15.6" x14ac:dyDescent="0.3">
      <c r="A45" s="5"/>
      <c r="B45" s="1">
        <v>1228</v>
      </c>
      <c r="C45" s="2">
        <v>45025</v>
      </c>
      <c r="D45" s="1" t="s">
        <v>20</v>
      </c>
      <c r="E45" s="1">
        <v>3</v>
      </c>
      <c r="F45" s="1" t="s">
        <v>10</v>
      </c>
      <c r="G45" s="1">
        <v>7.91</v>
      </c>
      <c r="H45" s="1">
        <v>23.72</v>
      </c>
      <c r="I45" s="1" t="s">
        <v>32</v>
      </c>
      <c r="J45" s="1" t="s">
        <v>33</v>
      </c>
      <c r="K45" s="1" t="s">
        <v>34</v>
      </c>
    </row>
    <row r="46" spans="1:11" ht="15.6" x14ac:dyDescent="0.3">
      <c r="A46" s="5"/>
      <c r="B46" s="3">
        <v>1088</v>
      </c>
      <c r="C46" s="4">
        <v>45025</v>
      </c>
      <c r="D46" s="3" t="s">
        <v>19</v>
      </c>
      <c r="E46" s="3">
        <v>11</v>
      </c>
      <c r="F46" s="3" t="s">
        <v>15</v>
      </c>
      <c r="G46" s="3">
        <v>34.46</v>
      </c>
      <c r="H46" s="3">
        <v>379.03</v>
      </c>
      <c r="I46" s="3" t="s">
        <v>32</v>
      </c>
      <c r="J46" s="3" t="s">
        <v>33</v>
      </c>
      <c r="K46" s="3" t="s">
        <v>34</v>
      </c>
    </row>
    <row r="47" spans="1:11" ht="15.6" x14ac:dyDescent="0.3">
      <c r="A47" s="5"/>
      <c r="B47" s="1">
        <v>1188</v>
      </c>
      <c r="C47" s="2">
        <v>45030</v>
      </c>
      <c r="D47" s="1" t="s">
        <v>9</v>
      </c>
      <c r="E47" s="1">
        <v>4</v>
      </c>
      <c r="F47" s="1" t="s">
        <v>15</v>
      </c>
      <c r="G47" s="1">
        <v>73.27</v>
      </c>
      <c r="H47" s="1">
        <v>293.10000000000002</v>
      </c>
      <c r="I47" s="1" t="s">
        <v>32</v>
      </c>
      <c r="J47" s="1" t="s">
        <v>33</v>
      </c>
      <c r="K47" s="1" t="s">
        <v>34</v>
      </c>
    </row>
    <row r="48" spans="1:11" ht="15.6" x14ac:dyDescent="0.3">
      <c r="A48" s="5"/>
      <c r="B48" s="3">
        <v>1405</v>
      </c>
      <c r="C48" s="4">
        <v>45035</v>
      </c>
      <c r="D48" s="3" t="s">
        <v>28</v>
      </c>
      <c r="E48" s="3">
        <v>2</v>
      </c>
      <c r="F48" s="3" t="s">
        <v>18</v>
      </c>
      <c r="G48" s="3">
        <v>46.04</v>
      </c>
      <c r="H48" s="3">
        <v>92.07</v>
      </c>
      <c r="I48" s="3" t="s">
        <v>32</v>
      </c>
      <c r="J48" s="3" t="s">
        <v>33</v>
      </c>
      <c r="K48" s="3" t="s">
        <v>34</v>
      </c>
    </row>
    <row r="49" spans="1:11" ht="15.6" x14ac:dyDescent="0.3">
      <c r="A49" s="5"/>
      <c r="B49" s="1">
        <v>1132</v>
      </c>
      <c r="C49" s="2">
        <v>45039</v>
      </c>
      <c r="D49" s="1" t="s">
        <v>16</v>
      </c>
      <c r="E49" s="1">
        <v>5</v>
      </c>
      <c r="F49" s="1" t="s">
        <v>15</v>
      </c>
      <c r="G49" s="1">
        <v>27.05</v>
      </c>
      <c r="H49" s="1">
        <v>135.24</v>
      </c>
      <c r="I49" s="1" t="s">
        <v>32</v>
      </c>
      <c r="J49" s="1" t="s">
        <v>33</v>
      </c>
      <c r="K49" s="1" t="s">
        <v>34</v>
      </c>
    </row>
    <row r="50" spans="1:11" ht="15.6" x14ac:dyDescent="0.3">
      <c r="A50" s="5"/>
      <c r="B50" s="3">
        <v>1364</v>
      </c>
      <c r="C50" s="4">
        <v>45041</v>
      </c>
      <c r="D50" s="3" t="s">
        <v>23</v>
      </c>
      <c r="E50" s="3">
        <v>4</v>
      </c>
      <c r="F50" s="3" t="s">
        <v>10</v>
      </c>
      <c r="G50" s="3">
        <v>14.37</v>
      </c>
      <c r="H50" s="3">
        <v>57.49</v>
      </c>
      <c r="I50" s="3" t="s">
        <v>32</v>
      </c>
      <c r="J50" s="3" t="s">
        <v>33</v>
      </c>
      <c r="K50" s="3" t="s">
        <v>34</v>
      </c>
    </row>
    <row r="51" spans="1:11" ht="15.6" x14ac:dyDescent="0.3">
      <c r="A51" s="5"/>
      <c r="B51" s="1">
        <v>1302</v>
      </c>
      <c r="C51" s="2">
        <v>45043</v>
      </c>
      <c r="D51" s="1" t="s">
        <v>16</v>
      </c>
      <c r="E51" s="1">
        <v>5</v>
      </c>
      <c r="F51" s="1" t="s">
        <v>18</v>
      </c>
      <c r="G51" s="1">
        <v>23.85</v>
      </c>
      <c r="H51" s="1">
        <v>119.23</v>
      </c>
      <c r="I51" s="1" t="s">
        <v>32</v>
      </c>
      <c r="J51" s="1" t="s">
        <v>33</v>
      </c>
      <c r="K51" s="1" t="s">
        <v>34</v>
      </c>
    </row>
    <row r="52" spans="1:11" ht="15.6" x14ac:dyDescent="0.3">
      <c r="A52" s="5"/>
      <c r="B52" s="3">
        <v>1299</v>
      </c>
      <c r="C52" s="4">
        <v>45046</v>
      </c>
      <c r="D52" s="3" t="s">
        <v>23</v>
      </c>
      <c r="E52" s="3">
        <v>4</v>
      </c>
      <c r="F52" s="3" t="s">
        <v>15</v>
      </c>
      <c r="G52" s="3">
        <v>15.8</v>
      </c>
      <c r="H52" s="3">
        <v>63.19</v>
      </c>
      <c r="I52" s="3" t="s">
        <v>32</v>
      </c>
      <c r="J52" s="3" t="s">
        <v>33</v>
      </c>
      <c r="K52" s="3" t="s">
        <v>34</v>
      </c>
    </row>
    <row r="53" spans="1:11" ht="15.6" x14ac:dyDescent="0.3">
      <c r="A53" s="5"/>
      <c r="B53" s="1">
        <v>1001</v>
      </c>
      <c r="C53" s="2">
        <v>45048</v>
      </c>
      <c r="D53" s="1" t="s">
        <v>17</v>
      </c>
      <c r="E53" s="1">
        <v>7</v>
      </c>
      <c r="F53" s="1" t="s">
        <v>18</v>
      </c>
      <c r="G53" s="1">
        <v>19.72</v>
      </c>
      <c r="H53" s="1">
        <v>138.04</v>
      </c>
      <c r="I53" s="1" t="s">
        <v>35</v>
      </c>
      <c r="J53" s="1" t="s">
        <v>36</v>
      </c>
      <c r="K53" s="1" t="s">
        <v>36</v>
      </c>
    </row>
    <row r="54" spans="1:11" ht="15.6" x14ac:dyDescent="0.3">
      <c r="A54" s="5"/>
      <c r="B54" s="3">
        <v>1142</v>
      </c>
      <c r="C54" s="4">
        <v>45049</v>
      </c>
      <c r="D54" s="3" t="s">
        <v>24</v>
      </c>
      <c r="E54" s="3">
        <v>7</v>
      </c>
      <c r="F54" s="3" t="s">
        <v>10</v>
      </c>
      <c r="G54" s="3">
        <v>60.82</v>
      </c>
      <c r="H54" s="3">
        <v>425.73</v>
      </c>
      <c r="I54" s="3" t="s">
        <v>35</v>
      </c>
      <c r="J54" s="3" t="s">
        <v>36</v>
      </c>
      <c r="K54" s="3" t="s">
        <v>36</v>
      </c>
    </row>
    <row r="55" spans="1:11" ht="15.6" x14ac:dyDescent="0.3">
      <c r="A55" s="5"/>
      <c r="B55" s="1">
        <v>1240</v>
      </c>
      <c r="C55" s="2">
        <v>45054</v>
      </c>
      <c r="D55" s="1" t="s">
        <v>16</v>
      </c>
      <c r="E55" s="1">
        <v>8</v>
      </c>
      <c r="F55" s="1" t="s">
        <v>15</v>
      </c>
      <c r="G55" s="1">
        <v>26.56</v>
      </c>
      <c r="H55" s="1">
        <v>212.44</v>
      </c>
      <c r="I55" s="1" t="s">
        <v>35</v>
      </c>
      <c r="J55" s="1" t="s">
        <v>36</v>
      </c>
      <c r="K55" s="1" t="s">
        <v>36</v>
      </c>
    </row>
    <row r="56" spans="1:11" ht="15.6" x14ac:dyDescent="0.3">
      <c r="A56" s="5"/>
      <c r="B56" s="3">
        <v>1006</v>
      </c>
      <c r="C56" s="4">
        <v>45057</v>
      </c>
      <c r="D56" s="3" t="s">
        <v>20</v>
      </c>
      <c r="E56" s="3">
        <v>6</v>
      </c>
      <c r="F56" s="3" t="s">
        <v>15</v>
      </c>
      <c r="G56" s="3">
        <v>8.08</v>
      </c>
      <c r="H56" s="3">
        <v>48.49</v>
      </c>
      <c r="I56" s="3" t="s">
        <v>35</v>
      </c>
      <c r="J56" s="3" t="s">
        <v>36</v>
      </c>
      <c r="K56" s="3" t="s">
        <v>36</v>
      </c>
    </row>
    <row r="57" spans="1:11" ht="15.6" x14ac:dyDescent="0.3">
      <c r="A57" s="5"/>
      <c r="B57" s="1">
        <v>1448</v>
      </c>
      <c r="C57" s="2">
        <v>45060</v>
      </c>
      <c r="D57" s="1" t="s">
        <v>24</v>
      </c>
      <c r="E57" s="1">
        <v>4</v>
      </c>
      <c r="F57" s="1" t="s">
        <v>10</v>
      </c>
      <c r="G57" s="1">
        <v>54.13</v>
      </c>
      <c r="H57" s="1">
        <v>216.52</v>
      </c>
      <c r="I57" s="1" t="s">
        <v>35</v>
      </c>
      <c r="J57" s="1" t="s">
        <v>36</v>
      </c>
      <c r="K57" s="1" t="s">
        <v>36</v>
      </c>
    </row>
    <row r="58" spans="1:11" ht="15.6" x14ac:dyDescent="0.3">
      <c r="A58" s="5"/>
      <c r="B58" s="3">
        <v>1081</v>
      </c>
      <c r="C58" s="4">
        <v>45061</v>
      </c>
      <c r="D58" s="3" t="s">
        <v>23</v>
      </c>
      <c r="E58" s="3">
        <v>6</v>
      </c>
      <c r="F58" s="3" t="s">
        <v>21</v>
      </c>
      <c r="G58" s="3">
        <v>14.91</v>
      </c>
      <c r="H58" s="3">
        <v>89.44</v>
      </c>
      <c r="I58" s="3" t="s">
        <v>35</v>
      </c>
      <c r="J58" s="3" t="s">
        <v>36</v>
      </c>
      <c r="K58" s="3" t="s">
        <v>36</v>
      </c>
    </row>
    <row r="59" spans="1:11" ht="15.6" x14ac:dyDescent="0.3">
      <c r="A59" s="5"/>
      <c r="B59" s="1">
        <v>1151</v>
      </c>
      <c r="C59" s="2">
        <v>45070</v>
      </c>
      <c r="D59" s="1" t="s">
        <v>28</v>
      </c>
      <c r="E59" s="1">
        <v>7</v>
      </c>
      <c r="F59" s="1" t="s">
        <v>10</v>
      </c>
      <c r="G59" s="1">
        <v>44.16</v>
      </c>
      <c r="H59" s="1">
        <v>309.12</v>
      </c>
      <c r="I59" s="1" t="s">
        <v>35</v>
      </c>
      <c r="J59" s="1" t="s">
        <v>36</v>
      </c>
      <c r="K59" s="1" t="s">
        <v>36</v>
      </c>
    </row>
    <row r="60" spans="1:11" ht="15.6" x14ac:dyDescent="0.3">
      <c r="A60" s="5"/>
      <c r="B60" s="3">
        <v>1399</v>
      </c>
      <c r="C60" s="4">
        <v>45070</v>
      </c>
      <c r="D60" s="3" t="s">
        <v>24</v>
      </c>
      <c r="E60" s="3">
        <v>4</v>
      </c>
      <c r="F60" s="3" t="s">
        <v>10</v>
      </c>
      <c r="G60" s="3">
        <v>52.21</v>
      </c>
      <c r="H60" s="3">
        <v>208.82</v>
      </c>
      <c r="I60" s="3" t="s">
        <v>35</v>
      </c>
      <c r="J60" s="3" t="s">
        <v>36</v>
      </c>
      <c r="K60" s="3" t="s">
        <v>36</v>
      </c>
    </row>
    <row r="61" spans="1:11" ht="15.6" x14ac:dyDescent="0.3">
      <c r="A61" s="5"/>
      <c r="B61" s="1">
        <v>1170</v>
      </c>
      <c r="C61" s="2">
        <v>45070</v>
      </c>
      <c r="D61" s="1" t="s">
        <v>20</v>
      </c>
      <c r="E61" s="1">
        <v>6</v>
      </c>
      <c r="F61" s="1" t="s">
        <v>21</v>
      </c>
      <c r="G61" s="1">
        <v>8.27</v>
      </c>
      <c r="H61" s="1">
        <v>49.6</v>
      </c>
      <c r="I61" s="1" t="s">
        <v>35</v>
      </c>
      <c r="J61" s="1" t="s">
        <v>36</v>
      </c>
      <c r="K61" s="1" t="s">
        <v>36</v>
      </c>
    </row>
    <row r="62" spans="1:11" ht="15.6" x14ac:dyDescent="0.3">
      <c r="A62" s="5"/>
      <c r="B62" s="3">
        <v>1498</v>
      </c>
      <c r="C62" s="4">
        <v>45072</v>
      </c>
      <c r="D62" s="3" t="s">
        <v>17</v>
      </c>
      <c r="E62" s="3">
        <v>2</v>
      </c>
      <c r="F62" s="3" t="s">
        <v>10</v>
      </c>
      <c r="G62" s="3">
        <v>17.12</v>
      </c>
      <c r="H62" s="3">
        <v>34.25</v>
      </c>
      <c r="I62" s="3" t="s">
        <v>35</v>
      </c>
      <c r="J62" s="3" t="s">
        <v>36</v>
      </c>
      <c r="K62" s="3" t="s">
        <v>36</v>
      </c>
    </row>
    <row r="63" spans="1:11" ht="15.6" x14ac:dyDescent="0.3">
      <c r="A63" s="5"/>
      <c r="B63" s="1">
        <v>1159</v>
      </c>
      <c r="C63" s="2">
        <v>45073</v>
      </c>
      <c r="D63" s="1" t="s">
        <v>24</v>
      </c>
      <c r="E63" s="1">
        <v>5</v>
      </c>
      <c r="F63" s="1" t="s">
        <v>21</v>
      </c>
      <c r="G63" s="1">
        <v>51.85</v>
      </c>
      <c r="H63" s="1">
        <v>259.25</v>
      </c>
      <c r="I63" s="1" t="s">
        <v>35</v>
      </c>
      <c r="J63" s="1" t="s">
        <v>36</v>
      </c>
      <c r="K63" s="1" t="s">
        <v>36</v>
      </c>
    </row>
    <row r="64" spans="1:11" ht="15.6" x14ac:dyDescent="0.3">
      <c r="A64" s="5"/>
      <c r="B64" s="3">
        <v>1273</v>
      </c>
      <c r="C64" s="4">
        <v>45076</v>
      </c>
      <c r="D64" s="3" t="s">
        <v>23</v>
      </c>
      <c r="E64" s="3">
        <v>5</v>
      </c>
      <c r="F64" s="3" t="s">
        <v>15</v>
      </c>
      <c r="G64" s="3">
        <v>13.97</v>
      </c>
      <c r="H64" s="3">
        <v>69.84</v>
      </c>
      <c r="I64" s="3" t="s">
        <v>35</v>
      </c>
      <c r="J64" s="3" t="s">
        <v>36</v>
      </c>
      <c r="K64" s="3" t="s">
        <v>36</v>
      </c>
    </row>
    <row r="65" spans="1:11" ht="15.6" x14ac:dyDescent="0.3">
      <c r="A65" s="5"/>
      <c r="B65" s="1">
        <v>1168</v>
      </c>
      <c r="C65" s="2">
        <v>45077</v>
      </c>
      <c r="D65" s="1" t="s">
        <v>20</v>
      </c>
      <c r="E65" s="1">
        <v>4</v>
      </c>
      <c r="F65" s="1" t="s">
        <v>10</v>
      </c>
      <c r="G65" s="1">
        <v>8.24</v>
      </c>
      <c r="H65" s="1">
        <v>32.96</v>
      </c>
      <c r="I65" s="1" t="s">
        <v>35</v>
      </c>
      <c r="J65" s="1" t="s">
        <v>36</v>
      </c>
      <c r="K65" s="1" t="s">
        <v>36</v>
      </c>
    </row>
    <row r="66" spans="1:11" ht="15.6" x14ac:dyDescent="0.3">
      <c r="A66" s="5"/>
      <c r="B66" s="3">
        <v>1184</v>
      </c>
      <c r="C66" s="4">
        <v>45078</v>
      </c>
      <c r="D66" s="3" t="s">
        <v>23</v>
      </c>
      <c r="E66" s="3">
        <v>4</v>
      </c>
      <c r="F66" s="3" t="s">
        <v>21</v>
      </c>
      <c r="G66" s="3">
        <v>14.46</v>
      </c>
      <c r="H66" s="3">
        <v>57.85</v>
      </c>
      <c r="I66" s="3" t="s">
        <v>37</v>
      </c>
      <c r="J66" s="3" t="s">
        <v>38</v>
      </c>
      <c r="K66" s="3" t="s">
        <v>39</v>
      </c>
    </row>
    <row r="67" spans="1:11" ht="15.6" x14ac:dyDescent="0.3">
      <c r="A67" s="5"/>
      <c r="B67" s="1">
        <v>1192</v>
      </c>
      <c r="C67" s="2">
        <v>45079</v>
      </c>
      <c r="D67" s="1" t="s">
        <v>20</v>
      </c>
      <c r="E67" s="1">
        <v>2</v>
      </c>
      <c r="F67" s="1" t="s">
        <v>15</v>
      </c>
      <c r="G67" s="1">
        <v>7.97</v>
      </c>
      <c r="H67" s="1">
        <v>15.94</v>
      </c>
      <c r="I67" s="1" t="s">
        <v>37</v>
      </c>
      <c r="J67" s="1" t="s">
        <v>38</v>
      </c>
      <c r="K67" s="1" t="s">
        <v>39</v>
      </c>
    </row>
    <row r="68" spans="1:11" ht="15.6" x14ac:dyDescent="0.3">
      <c r="A68" s="5"/>
      <c r="B68" s="3">
        <v>1316</v>
      </c>
      <c r="C68" s="4">
        <v>45080</v>
      </c>
      <c r="D68" s="3" t="s">
        <v>20</v>
      </c>
      <c r="E68" s="3">
        <v>3</v>
      </c>
      <c r="F68" s="3" t="s">
        <v>10</v>
      </c>
      <c r="G68" s="3">
        <v>7.77</v>
      </c>
      <c r="H68" s="3">
        <v>23.31</v>
      </c>
      <c r="I68" s="3" t="s">
        <v>37</v>
      </c>
      <c r="J68" s="3" t="s">
        <v>38</v>
      </c>
      <c r="K68" s="3" t="s">
        <v>39</v>
      </c>
    </row>
    <row r="69" spans="1:11" ht="15.6" x14ac:dyDescent="0.3">
      <c r="A69" s="5"/>
      <c r="B69" s="1">
        <v>1248</v>
      </c>
      <c r="C69" s="2">
        <v>45081</v>
      </c>
      <c r="D69" s="1" t="s">
        <v>17</v>
      </c>
      <c r="E69" s="1">
        <v>3</v>
      </c>
      <c r="F69" s="1" t="s">
        <v>21</v>
      </c>
      <c r="G69" s="1">
        <v>18.77</v>
      </c>
      <c r="H69" s="1">
        <v>56.32</v>
      </c>
      <c r="I69" s="1" t="s">
        <v>37</v>
      </c>
      <c r="J69" s="1" t="s">
        <v>38</v>
      </c>
      <c r="K69" s="1" t="s">
        <v>39</v>
      </c>
    </row>
    <row r="70" spans="1:11" ht="15.6" x14ac:dyDescent="0.3">
      <c r="A70" s="5"/>
      <c r="B70" s="3">
        <v>1225</v>
      </c>
      <c r="C70" s="4">
        <v>45084</v>
      </c>
      <c r="D70" s="3" t="s">
        <v>23</v>
      </c>
      <c r="E70" s="3">
        <v>3</v>
      </c>
      <c r="F70" s="3" t="s">
        <v>10</v>
      </c>
      <c r="G70" s="3">
        <v>16.14</v>
      </c>
      <c r="H70" s="3">
        <v>48.42</v>
      </c>
      <c r="I70" s="3" t="s">
        <v>37</v>
      </c>
      <c r="J70" s="3" t="s">
        <v>38</v>
      </c>
      <c r="K70" s="3" t="s">
        <v>39</v>
      </c>
    </row>
    <row r="71" spans="1:11" ht="15.6" x14ac:dyDescent="0.3">
      <c r="A71" s="5"/>
      <c r="B71" s="1">
        <v>1344</v>
      </c>
      <c r="C71" s="2">
        <v>45086</v>
      </c>
      <c r="D71" s="1" t="s">
        <v>28</v>
      </c>
      <c r="E71" s="1">
        <v>5</v>
      </c>
      <c r="F71" s="1" t="s">
        <v>21</v>
      </c>
      <c r="G71" s="1">
        <v>46.55</v>
      </c>
      <c r="H71" s="1">
        <v>232.74</v>
      </c>
      <c r="I71" s="1" t="s">
        <v>37</v>
      </c>
      <c r="J71" s="1" t="s">
        <v>38</v>
      </c>
      <c r="K71" s="1" t="s">
        <v>39</v>
      </c>
    </row>
    <row r="72" spans="1:11" ht="15.6" x14ac:dyDescent="0.3">
      <c r="A72" s="5"/>
      <c r="B72" s="3">
        <v>1198</v>
      </c>
      <c r="C72" s="4">
        <v>45087</v>
      </c>
      <c r="D72" s="3" t="s">
        <v>17</v>
      </c>
      <c r="E72" s="3">
        <v>6</v>
      </c>
      <c r="F72" s="3" t="s">
        <v>21</v>
      </c>
      <c r="G72" s="3">
        <v>18.73</v>
      </c>
      <c r="H72" s="3">
        <v>112.37</v>
      </c>
      <c r="I72" s="3" t="s">
        <v>37</v>
      </c>
      <c r="J72" s="3" t="s">
        <v>38</v>
      </c>
      <c r="K72" s="3" t="s">
        <v>39</v>
      </c>
    </row>
    <row r="73" spans="1:11" ht="15.6" x14ac:dyDescent="0.3">
      <c r="A73" s="5"/>
      <c r="B73" s="1">
        <v>1052</v>
      </c>
      <c r="C73" s="2">
        <v>45088</v>
      </c>
      <c r="D73" s="1" t="s">
        <v>20</v>
      </c>
      <c r="E73" s="1">
        <v>2</v>
      </c>
      <c r="F73" s="1" t="s">
        <v>21</v>
      </c>
      <c r="G73" s="1">
        <v>7.87</v>
      </c>
      <c r="H73" s="1">
        <v>15.74</v>
      </c>
      <c r="I73" s="1" t="s">
        <v>37</v>
      </c>
      <c r="J73" s="1" t="s">
        <v>38</v>
      </c>
      <c r="K73" s="1" t="s">
        <v>39</v>
      </c>
    </row>
    <row r="74" spans="1:11" ht="15.6" x14ac:dyDescent="0.3">
      <c r="A74" s="5"/>
      <c r="B74" s="3">
        <v>1429</v>
      </c>
      <c r="C74" s="4">
        <v>45093</v>
      </c>
      <c r="D74" s="3" t="s">
        <v>9</v>
      </c>
      <c r="E74" s="3">
        <v>4</v>
      </c>
      <c r="F74" s="3" t="s">
        <v>15</v>
      </c>
      <c r="G74" s="3">
        <v>68.62</v>
      </c>
      <c r="H74" s="3">
        <v>274.48</v>
      </c>
      <c r="I74" s="3" t="s">
        <v>37</v>
      </c>
      <c r="J74" s="3" t="s">
        <v>38</v>
      </c>
      <c r="K74" s="3" t="s">
        <v>39</v>
      </c>
    </row>
    <row r="75" spans="1:11" ht="15.6" x14ac:dyDescent="0.3">
      <c r="A75" s="5"/>
      <c r="B75" s="1">
        <v>1031</v>
      </c>
      <c r="C75" s="2">
        <v>45093</v>
      </c>
      <c r="D75" s="1" t="s">
        <v>22</v>
      </c>
      <c r="E75" s="1">
        <v>5</v>
      </c>
      <c r="F75" s="1" t="s">
        <v>21</v>
      </c>
      <c r="G75" s="1">
        <v>12.38</v>
      </c>
      <c r="H75" s="1">
        <v>61.92</v>
      </c>
      <c r="I75" s="1" t="s">
        <v>37</v>
      </c>
      <c r="J75" s="1" t="s">
        <v>38</v>
      </c>
      <c r="K75" s="1" t="s">
        <v>39</v>
      </c>
    </row>
    <row r="76" spans="1:11" ht="15.6" x14ac:dyDescent="0.3">
      <c r="A76" s="5"/>
      <c r="B76" s="3">
        <v>1418</v>
      </c>
      <c r="C76" s="4">
        <v>45096</v>
      </c>
      <c r="D76" s="3" t="s">
        <v>22</v>
      </c>
      <c r="E76" s="3">
        <v>4</v>
      </c>
      <c r="F76" s="3" t="s">
        <v>10</v>
      </c>
      <c r="G76" s="3">
        <v>11.73</v>
      </c>
      <c r="H76" s="3">
        <v>46.94</v>
      </c>
      <c r="I76" s="3" t="s">
        <v>37</v>
      </c>
      <c r="J76" s="3" t="s">
        <v>38</v>
      </c>
      <c r="K76" s="3" t="s">
        <v>39</v>
      </c>
    </row>
    <row r="77" spans="1:11" ht="15.6" x14ac:dyDescent="0.3">
      <c r="A77" s="5"/>
      <c r="B77" s="1">
        <v>1433</v>
      </c>
      <c r="C77" s="2">
        <v>45099</v>
      </c>
      <c r="D77" s="1" t="s">
        <v>23</v>
      </c>
      <c r="E77" s="1">
        <v>3</v>
      </c>
      <c r="F77" s="1" t="s">
        <v>10</v>
      </c>
      <c r="G77" s="1">
        <v>15.14</v>
      </c>
      <c r="H77" s="1">
        <v>45.42</v>
      </c>
      <c r="I77" s="1" t="s">
        <v>37</v>
      </c>
      <c r="J77" s="1" t="s">
        <v>38</v>
      </c>
      <c r="K77" s="1" t="s">
        <v>39</v>
      </c>
    </row>
    <row r="78" spans="1:11" ht="15.6" x14ac:dyDescent="0.3">
      <c r="A78" s="5"/>
      <c r="B78" s="3">
        <v>1452</v>
      </c>
      <c r="C78" s="4">
        <v>45099</v>
      </c>
      <c r="D78" s="3" t="s">
        <v>14</v>
      </c>
      <c r="E78" s="3">
        <v>2</v>
      </c>
      <c r="F78" s="3" t="s">
        <v>18</v>
      </c>
      <c r="G78" s="3">
        <v>22.99</v>
      </c>
      <c r="H78" s="3">
        <v>45.98</v>
      </c>
      <c r="I78" s="3" t="s">
        <v>37</v>
      </c>
      <c r="J78" s="3" t="s">
        <v>38</v>
      </c>
      <c r="K78" s="3" t="s">
        <v>39</v>
      </c>
    </row>
    <row r="79" spans="1:11" ht="15.6" x14ac:dyDescent="0.3">
      <c r="A79" s="5"/>
      <c r="B79" s="1">
        <v>1390</v>
      </c>
      <c r="C79" s="2">
        <v>45103</v>
      </c>
      <c r="D79" s="1" t="s">
        <v>19</v>
      </c>
      <c r="E79" s="1">
        <v>4</v>
      </c>
      <c r="F79" s="1" t="s">
        <v>10</v>
      </c>
      <c r="G79" s="1">
        <v>35.82</v>
      </c>
      <c r="H79" s="1">
        <v>143.29</v>
      </c>
      <c r="I79" s="1" t="s">
        <v>37</v>
      </c>
      <c r="J79" s="1" t="s">
        <v>38</v>
      </c>
      <c r="K79" s="1" t="s">
        <v>39</v>
      </c>
    </row>
    <row r="80" spans="1:11" ht="15.6" x14ac:dyDescent="0.3">
      <c r="A80" s="5"/>
      <c r="B80" s="3">
        <v>1232</v>
      </c>
      <c r="C80" s="4">
        <v>45107</v>
      </c>
      <c r="D80" s="3" t="s">
        <v>14</v>
      </c>
      <c r="E80" s="3">
        <v>3</v>
      </c>
      <c r="F80" s="3" t="s">
        <v>18</v>
      </c>
      <c r="G80" s="3">
        <v>23.2</v>
      </c>
      <c r="H80" s="3">
        <v>69.599999999999994</v>
      </c>
      <c r="I80" s="3" t="s">
        <v>37</v>
      </c>
      <c r="J80" s="3" t="s">
        <v>38</v>
      </c>
      <c r="K80" s="3" t="s">
        <v>39</v>
      </c>
    </row>
    <row r="81" spans="1:11" ht="15.6" x14ac:dyDescent="0.3">
      <c r="A81" s="5"/>
      <c r="B81" s="1">
        <v>1153</v>
      </c>
      <c r="C81" s="2">
        <v>45113</v>
      </c>
      <c r="D81" s="1" t="s">
        <v>22</v>
      </c>
      <c r="E81" s="1">
        <v>5</v>
      </c>
      <c r="F81" s="1" t="s">
        <v>18</v>
      </c>
      <c r="G81" s="1">
        <v>12.83</v>
      </c>
      <c r="H81" s="1">
        <v>64.16</v>
      </c>
      <c r="I81" s="1" t="s">
        <v>40</v>
      </c>
      <c r="J81" s="1" t="s">
        <v>41</v>
      </c>
      <c r="K81" s="1" t="s">
        <v>42</v>
      </c>
    </row>
    <row r="82" spans="1:11" ht="15.6" x14ac:dyDescent="0.3">
      <c r="A82" s="5"/>
      <c r="B82" s="3">
        <v>1066</v>
      </c>
      <c r="C82" s="4">
        <v>45114</v>
      </c>
      <c r="D82" s="3" t="s">
        <v>24</v>
      </c>
      <c r="E82" s="3">
        <v>4</v>
      </c>
      <c r="F82" s="3" t="s">
        <v>10</v>
      </c>
      <c r="G82" s="3">
        <v>57.65</v>
      </c>
      <c r="H82" s="3">
        <v>230.59</v>
      </c>
      <c r="I82" s="3" t="s">
        <v>40</v>
      </c>
      <c r="J82" s="3" t="s">
        <v>41</v>
      </c>
      <c r="K82" s="3" t="s">
        <v>42</v>
      </c>
    </row>
    <row r="83" spans="1:11" ht="15.6" x14ac:dyDescent="0.3">
      <c r="A83" s="5"/>
      <c r="B83" s="1">
        <v>1119</v>
      </c>
      <c r="C83" s="2">
        <v>45116</v>
      </c>
      <c r="D83" s="1" t="s">
        <v>16</v>
      </c>
      <c r="E83" s="1">
        <v>2</v>
      </c>
      <c r="F83" s="1" t="s">
        <v>10</v>
      </c>
      <c r="G83" s="1">
        <v>25.24</v>
      </c>
      <c r="H83" s="1">
        <v>50.47</v>
      </c>
      <c r="I83" s="1" t="s">
        <v>40</v>
      </c>
      <c r="J83" s="1" t="s">
        <v>41</v>
      </c>
      <c r="K83" s="1" t="s">
        <v>42</v>
      </c>
    </row>
    <row r="84" spans="1:11" ht="15.6" x14ac:dyDescent="0.3">
      <c r="A84" s="5"/>
      <c r="B84" s="3">
        <v>1022</v>
      </c>
      <c r="C84" s="4">
        <v>45116</v>
      </c>
      <c r="D84" s="3" t="s">
        <v>22</v>
      </c>
      <c r="E84" s="3">
        <v>4</v>
      </c>
      <c r="F84" s="3" t="s">
        <v>15</v>
      </c>
      <c r="G84" s="3">
        <v>11.54</v>
      </c>
      <c r="H84" s="3">
        <v>46.15</v>
      </c>
      <c r="I84" s="3" t="s">
        <v>40</v>
      </c>
      <c r="J84" s="3" t="s">
        <v>41</v>
      </c>
      <c r="K84" s="3" t="s">
        <v>42</v>
      </c>
    </row>
    <row r="85" spans="1:11" ht="15.6" x14ac:dyDescent="0.3">
      <c r="A85" s="5"/>
      <c r="B85" s="1">
        <v>1443</v>
      </c>
      <c r="C85" s="2">
        <v>45116</v>
      </c>
      <c r="D85" s="1" t="s">
        <v>19</v>
      </c>
      <c r="E85" s="1">
        <v>2</v>
      </c>
      <c r="F85" s="1" t="s">
        <v>10</v>
      </c>
      <c r="G85" s="1">
        <v>34.46</v>
      </c>
      <c r="H85" s="1">
        <v>68.92</v>
      </c>
      <c r="I85" s="1" t="s">
        <v>40</v>
      </c>
      <c r="J85" s="1" t="s">
        <v>41</v>
      </c>
      <c r="K85" s="1" t="s">
        <v>42</v>
      </c>
    </row>
    <row r="86" spans="1:11" ht="15.6" x14ac:dyDescent="0.3">
      <c r="A86" s="5"/>
      <c r="B86" s="3">
        <v>1236</v>
      </c>
      <c r="C86" s="4">
        <v>45117</v>
      </c>
      <c r="D86" s="3" t="s">
        <v>24</v>
      </c>
      <c r="E86" s="3">
        <v>4</v>
      </c>
      <c r="F86" s="3" t="s">
        <v>18</v>
      </c>
      <c r="G86" s="3">
        <v>54.92</v>
      </c>
      <c r="H86" s="3">
        <v>219.67</v>
      </c>
      <c r="I86" s="3" t="s">
        <v>40</v>
      </c>
      <c r="J86" s="3" t="s">
        <v>41</v>
      </c>
      <c r="K86" s="3" t="s">
        <v>42</v>
      </c>
    </row>
    <row r="87" spans="1:11" ht="15.6" x14ac:dyDescent="0.3">
      <c r="A87" s="5"/>
      <c r="B87" s="1">
        <v>1374</v>
      </c>
      <c r="C87" s="2">
        <v>45118</v>
      </c>
      <c r="D87" s="1" t="s">
        <v>20</v>
      </c>
      <c r="E87" s="1">
        <v>5</v>
      </c>
      <c r="F87" s="1" t="s">
        <v>21</v>
      </c>
      <c r="G87" s="1">
        <v>8.1300000000000008</v>
      </c>
      <c r="H87" s="1">
        <v>40.65</v>
      </c>
      <c r="I87" s="1" t="s">
        <v>40</v>
      </c>
      <c r="J87" s="1" t="s">
        <v>41</v>
      </c>
      <c r="K87" s="1" t="s">
        <v>42</v>
      </c>
    </row>
    <row r="88" spans="1:11" ht="15.6" x14ac:dyDescent="0.3">
      <c r="A88" s="5"/>
      <c r="B88" s="3">
        <v>1148</v>
      </c>
      <c r="C88" s="4">
        <v>45124</v>
      </c>
      <c r="D88" s="3" t="s">
        <v>16</v>
      </c>
      <c r="E88" s="3">
        <v>3</v>
      </c>
      <c r="F88" s="3" t="s">
        <v>10</v>
      </c>
      <c r="G88" s="3">
        <v>25.6</v>
      </c>
      <c r="H88" s="3">
        <v>76.81</v>
      </c>
      <c r="I88" s="3" t="s">
        <v>40</v>
      </c>
      <c r="J88" s="3" t="s">
        <v>41</v>
      </c>
      <c r="K88" s="3" t="s">
        <v>42</v>
      </c>
    </row>
    <row r="89" spans="1:11" ht="15.6" x14ac:dyDescent="0.3">
      <c r="A89" s="5"/>
      <c r="B89" s="1">
        <v>1082</v>
      </c>
      <c r="C89" s="2">
        <v>45127</v>
      </c>
      <c r="D89" s="1" t="s">
        <v>9</v>
      </c>
      <c r="E89" s="1">
        <v>4</v>
      </c>
      <c r="F89" s="1" t="s">
        <v>10</v>
      </c>
      <c r="G89" s="1">
        <v>65.77</v>
      </c>
      <c r="H89" s="1">
        <v>263.07</v>
      </c>
      <c r="I89" s="1" t="s">
        <v>40</v>
      </c>
      <c r="J89" s="1" t="s">
        <v>41</v>
      </c>
      <c r="K89" s="1" t="s">
        <v>42</v>
      </c>
    </row>
    <row r="90" spans="1:11" ht="15.6" x14ac:dyDescent="0.3">
      <c r="A90" s="5"/>
      <c r="B90" s="3">
        <v>1053</v>
      </c>
      <c r="C90" s="4">
        <v>45128</v>
      </c>
      <c r="D90" s="3" t="s">
        <v>20</v>
      </c>
      <c r="E90" s="3">
        <v>2</v>
      </c>
      <c r="F90" s="3" t="s">
        <v>21</v>
      </c>
      <c r="G90" s="3">
        <v>7.81</v>
      </c>
      <c r="H90" s="3">
        <v>15.62</v>
      </c>
      <c r="I90" s="3" t="s">
        <v>40</v>
      </c>
      <c r="J90" s="3" t="s">
        <v>41</v>
      </c>
      <c r="K90" s="3" t="s">
        <v>42</v>
      </c>
    </row>
    <row r="91" spans="1:11" ht="15.6" x14ac:dyDescent="0.3">
      <c r="A91" s="5"/>
      <c r="B91" s="1">
        <v>1141</v>
      </c>
      <c r="C91" s="2">
        <v>45129</v>
      </c>
      <c r="D91" s="1" t="s">
        <v>17</v>
      </c>
      <c r="E91" s="1">
        <v>4</v>
      </c>
      <c r="F91" s="1" t="s">
        <v>15</v>
      </c>
      <c r="G91" s="1">
        <v>18.12</v>
      </c>
      <c r="H91" s="1">
        <v>72.48</v>
      </c>
      <c r="I91" s="1" t="s">
        <v>40</v>
      </c>
      <c r="J91" s="1" t="s">
        <v>41</v>
      </c>
      <c r="K91" s="1" t="s">
        <v>42</v>
      </c>
    </row>
    <row r="92" spans="1:11" ht="15.6" x14ac:dyDescent="0.3">
      <c r="A92" s="5"/>
      <c r="B92" s="3">
        <v>1456</v>
      </c>
      <c r="C92" s="4">
        <v>45129</v>
      </c>
      <c r="D92" s="3" t="s">
        <v>24</v>
      </c>
      <c r="E92" s="3">
        <v>1</v>
      </c>
      <c r="F92" s="3" t="s">
        <v>18</v>
      </c>
      <c r="G92" s="3">
        <v>57.74</v>
      </c>
      <c r="H92" s="3">
        <v>57.74</v>
      </c>
      <c r="I92" s="3" t="s">
        <v>40</v>
      </c>
      <c r="J92" s="3" t="s">
        <v>41</v>
      </c>
      <c r="K92" s="3" t="s">
        <v>42</v>
      </c>
    </row>
    <row r="93" spans="1:11" ht="15.6" x14ac:dyDescent="0.3">
      <c r="A93" s="5"/>
      <c r="B93" s="1">
        <v>1045</v>
      </c>
      <c r="C93" s="2">
        <v>45132</v>
      </c>
      <c r="D93" s="1" t="s">
        <v>22</v>
      </c>
      <c r="E93" s="1">
        <v>5</v>
      </c>
      <c r="F93" s="1" t="s">
        <v>15</v>
      </c>
      <c r="G93" s="1">
        <v>12.41</v>
      </c>
      <c r="H93" s="1">
        <v>62.03</v>
      </c>
      <c r="I93" s="1" t="s">
        <v>40</v>
      </c>
      <c r="J93" s="1" t="s">
        <v>41</v>
      </c>
      <c r="K93" s="1" t="s">
        <v>42</v>
      </c>
    </row>
    <row r="94" spans="1:11" ht="15.6" x14ac:dyDescent="0.3">
      <c r="A94" s="5"/>
      <c r="B94" s="3">
        <v>1101</v>
      </c>
      <c r="C94" s="4">
        <v>45133</v>
      </c>
      <c r="D94" s="3" t="s">
        <v>22</v>
      </c>
      <c r="E94" s="3">
        <v>8</v>
      </c>
      <c r="F94" s="3" t="s">
        <v>15</v>
      </c>
      <c r="G94" s="3">
        <v>12.48</v>
      </c>
      <c r="H94" s="3">
        <v>99.85</v>
      </c>
      <c r="I94" s="3" t="s">
        <v>40</v>
      </c>
      <c r="J94" s="3" t="s">
        <v>41</v>
      </c>
      <c r="K94" s="3" t="s">
        <v>42</v>
      </c>
    </row>
    <row r="95" spans="1:11" ht="15.6" x14ac:dyDescent="0.3">
      <c r="A95" s="5"/>
      <c r="B95" s="1">
        <v>1182</v>
      </c>
      <c r="C95" s="2">
        <v>45134</v>
      </c>
      <c r="D95" s="1" t="s">
        <v>28</v>
      </c>
      <c r="E95" s="1">
        <v>4</v>
      </c>
      <c r="F95" s="1" t="s">
        <v>15</v>
      </c>
      <c r="G95" s="1">
        <v>41.86</v>
      </c>
      <c r="H95" s="1">
        <v>167.42</v>
      </c>
      <c r="I95" s="1" t="s">
        <v>40</v>
      </c>
      <c r="J95" s="1" t="s">
        <v>41</v>
      </c>
      <c r="K95" s="1" t="s">
        <v>42</v>
      </c>
    </row>
    <row r="96" spans="1:11" ht="15.6" x14ac:dyDescent="0.3">
      <c r="A96" s="5"/>
      <c r="B96" s="3">
        <v>1064</v>
      </c>
      <c r="C96" s="4">
        <v>45143</v>
      </c>
      <c r="D96" s="3" t="s">
        <v>22</v>
      </c>
      <c r="E96" s="3">
        <v>3</v>
      </c>
      <c r="F96" s="3" t="s">
        <v>21</v>
      </c>
      <c r="G96" s="3">
        <v>12.04</v>
      </c>
      <c r="H96" s="3">
        <v>36.11</v>
      </c>
      <c r="I96" s="3" t="s">
        <v>43</v>
      </c>
      <c r="J96" s="3" t="s">
        <v>44</v>
      </c>
      <c r="K96" s="3" t="s">
        <v>45</v>
      </c>
    </row>
    <row r="97" spans="1:11" ht="15.6" x14ac:dyDescent="0.3">
      <c r="A97" s="5"/>
      <c r="B97" s="1">
        <v>1426</v>
      </c>
      <c r="C97" s="2">
        <v>45143</v>
      </c>
      <c r="D97" s="1" t="s">
        <v>24</v>
      </c>
      <c r="E97" s="1">
        <v>7</v>
      </c>
      <c r="F97" s="1" t="s">
        <v>21</v>
      </c>
      <c r="G97" s="1">
        <v>57.48</v>
      </c>
      <c r="H97" s="1">
        <v>402.39</v>
      </c>
      <c r="I97" s="1" t="s">
        <v>43</v>
      </c>
      <c r="J97" s="1" t="s">
        <v>44</v>
      </c>
      <c r="K97" s="1" t="s">
        <v>45</v>
      </c>
    </row>
    <row r="98" spans="1:11" ht="15.6" x14ac:dyDescent="0.3">
      <c r="A98" s="5"/>
      <c r="B98" s="3">
        <v>1382</v>
      </c>
      <c r="C98" s="4">
        <v>45143</v>
      </c>
      <c r="D98" s="3" t="s">
        <v>16</v>
      </c>
      <c r="E98" s="3">
        <v>1</v>
      </c>
      <c r="F98" s="3" t="s">
        <v>18</v>
      </c>
      <c r="G98" s="3">
        <v>26.11</v>
      </c>
      <c r="H98" s="3">
        <v>26.11</v>
      </c>
      <c r="I98" s="3" t="s">
        <v>43</v>
      </c>
      <c r="J98" s="3" t="s">
        <v>44</v>
      </c>
      <c r="K98" s="3" t="s">
        <v>45</v>
      </c>
    </row>
    <row r="99" spans="1:11" ht="15.6" x14ac:dyDescent="0.3">
      <c r="A99" s="5"/>
      <c r="B99" s="1">
        <v>1325</v>
      </c>
      <c r="C99" s="2">
        <v>45144</v>
      </c>
      <c r="D99" s="1" t="s">
        <v>28</v>
      </c>
      <c r="E99" s="1">
        <v>6</v>
      </c>
      <c r="F99" s="1" t="s">
        <v>18</v>
      </c>
      <c r="G99" s="1">
        <v>42.14</v>
      </c>
      <c r="H99" s="1">
        <v>252.81</v>
      </c>
      <c r="I99" s="1" t="s">
        <v>43</v>
      </c>
      <c r="J99" s="1" t="s">
        <v>44</v>
      </c>
      <c r="K99" s="1" t="s">
        <v>45</v>
      </c>
    </row>
    <row r="100" spans="1:11" ht="15.6" x14ac:dyDescent="0.3">
      <c r="A100" s="5"/>
      <c r="B100" s="3">
        <v>1135</v>
      </c>
      <c r="C100" s="4">
        <v>45146</v>
      </c>
      <c r="D100" s="3" t="s">
        <v>19</v>
      </c>
      <c r="E100" s="3">
        <v>4</v>
      </c>
      <c r="F100" s="3" t="s">
        <v>21</v>
      </c>
      <c r="G100" s="3">
        <v>38.44</v>
      </c>
      <c r="H100" s="3">
        <v>153.76</v>
      </c>
      <c r="I100" s="3" t="s">
        <v>43</v>
      </c>
      <c r="J100" s="3" t="s">
        <v>44</v>
      </c>
      <c r="K100" s="3" t="s">
        <v>45</v>
      </c>
    </row>
    <row r="101" spans="1:11" ht="15.6" x14ac:dyDescent="0.3">
      <c r="A101" s="5"/>
      <c r="B101" s="1">
        <v>1499</v>
      </c>
      <c r="C101" s="2">
        <v>45150</v>
      </c>
      <c r="D101" s="1" t="s">
        <v>24</v>
      </c>
      <c r="E101" s="1">
        <v>4</v>
      </c>
      <c r="F101" s="1" t="s">
        <v>21</v>
      </c>
      <c r="G101" s="1">
        <v>49.84</v>
      </c>
      <c r="H101" s="1">
        <v>199.35</v>
      </c>
      <c r="I101" s="1" t="s">
        <v>43</v>
      </c>
      <c r="J101" s="1" t="s">
        <v>44</v>
      </c>
      <c r="K101" s="1" t="s">
        <v>45</v>
      </c>
    </row>
    <row r="102" spans="1:11" ht="15.6" x14ac:dyDescent="0.3">
      <c r="A102" s="5"/>
      <c r="B102" s="3">
        <v>1214</v>
      </c>
      <c r="C102" s="4">
        <v>45152</v>
      </c>
      <c r="D102" s="3" t="s">
        <v>16</v>
      </c>
      <c r="E102" s="3">
        <v>2</v>
      </c>
      <c r="F102" s="3" t="s">
        <v>15</v>
      </c>
      <c r="G102" s="3">
        <v>25.11</v>
      </c>
      <c r="H102" s="3">
        <v>50.22</v>
      </c>
      <c r="I102" s="3" t="s">
        <v>43</v>
      </c>
      <c r="J102" s="3" t="s">
        <v>44</v>
      </c>
      <c r="K102" s="3" t="s">
        <v>45</v>
      </c>
    </row>
    <row r="103" spans="1:11" ht="15.6" x14ac:dyDescent="0.3">
      <c r="A103" s="5"/>
      <c r="B103" s="1">
        <v>1210</v>
      </c>
      <c r="C103" s="2">
        <v>45156</v>
      </c>
      <c r="D103" s="1" t="s">
        <v>28</v>
      </c>
      <c r="E103" s="1">
        <v>6</v>
      </c>
      <c r="F103" s="1" t="s">
        <v>18</v>
      </c>
      <c r="G103" s="1">
        <v>45.82</v>
      </c>
      <c r="H103" s="1">
        <v>274.93</v>
      </c>
      <c r="I103" s="1" t="s">
        <v>43</v>
      </c>
      <c r="J103" s="1" t="s">
        <v>44</v>
      </c>
      <c r="K103" s="1" t="s">
        <v>45</v>
      </c>
    </row>
    <row r="104" spans="1:11" ht="15.6" x14ac:dyDescent="0.3">
      <c r="A104" s="5"/>
      <c r="B104" s="3">
        <v>1109</v>
      </c>
      <c r="C104" s="4">
        <v>45157</v>
      </c>
      <c r="D104" s="3" t="s">
        <v>20</v>
      </c>
      <c r="E104" s="3">
        <v>4</v>
      </c>
      <c r="F104" s="3" t="s">
        <v>15</v>
      </c>
      <c r="G104" s="3">
        <v>7.92</v>
      </c>
      <c r="H104" s="3">
        <v>31.68</v>
      </c>
      <c r="I104" s="3" t="s">
        <v>43</v>
      </c>
      <c r="J104" s="3" t="s">
        <v>44</v>
      </c>
      <c r="K104" s="3" t="s">
        <v>45</v>
      </c>
    </row>
    <row r="105" spans="1:11" ht="15.6" x14ac:dyDescent="0.3">
      <c r="A105" s="5"/>
      <c r="B105" s="1">
        <v>1078</v>
      </c>
      <c r="C105" s="2">
        <v>45157</v>
      </c>
      <c r="D105" s="1" t="s">
        <v>9</v>
      </c>
      <c r="E105" s="1">
        <v>6</v>
      </c>
      <c r="F105" s="1" t="s">
        <v>21</v>
      </c>
      <c r="G105" s="1">
        <v>58.97</v>
      </c>
      <c r="H105" s="1">
        <v>353.83</v>
      </c>
      <c r="I105" s="1" t="s">
        <v>43</v>
      </c>
      <c r="J105" s="1" t="s">
        <v>44</v>
      </c>
      <c r="K105" s="1" t="s">
        <v>45</v>
      </c>
    </row>
    <row r="106" spans="1:11" ht="15.6" x14ac:dyDescent="0.3">
      <c r="A106" s="5"/>
      <c r="B106" s="3">
        <v>1410</v>
      </c>
      <c r="C106" s="4">
        <v>45161</v>
      </c>
      <c r="D106" s="3" t="s">
        <v>17</v>
      </c>
      <c r="E106" s="3">
        <v>3</v>
      </c>
      <c r="F106" s="3" t="s">
        <v>10</v>
      </c>
      <c r="G106" s="3">
        <v>17.739999999999998</v>
      </c>
      <c r="H106" s="3">
        <v>53.23</v>
      </c>
      <c r="I106" s="3" t="s">
        <v>43</v>
      </c>
      <c r="J106" s="3" t="s">
        <v>44</v>
      </c>
      <c r="K106" s="3" t="s">
        <v>45</v>
      </c>
    </row>
    <row r="107" spans="1:11" ht="15.6" x14ac:dyDescent="0.3">
      <c r="A107" s="5"/>
      <c r="B107" s="1">
        <v>1036</v>
      </c>
      <c r="C107" s="2">
        <v>45168</v>
      </c>
      <c r="D107" s="1" t="s">
        <v>28</v>
      </c>
      <c r="E107" s="1">
        <v>6</v>
      </c>
      <c r="F107" s="1" t="s">
        <v>10</v>
      </c>
      <c r="G107" s="1">
        <v>45.41</v>
      </c>
      <c r="H107" s="1">
        <v>272.48</v>
      </c>
      <c r="I107" s="1" t="s">
        <v>43</v>
      </c>
      <c r="J107" s="1" t="s">
        <v>44</v>
      </c>
      <c r="K107" s="1" t="s">
        <v>45</v>
      </c>
    </row>
    <row r="108" spans="1:11" ht="15.6" x14ac:dyDescent="0.3">
      <c r="A108" s="5"/>
      <c r="B108" s="3">
        <v>1251</v>
      </c>
      <c r="C108" s="4">
        <v>45172</v>
      </c>
      <c r="D108" s="3" t="s">
        <v>16</v>
      </c>
      <c r="E108" s="3">
        <v>4</v>
      </c>
      <c r="F108" s="3" t="s">
        <v>15</v>
      </c>
      <c r="G108" s="3">
        <v>24.55</v>
      </c>
      <c r="H108" s="3">
        <v>98.2</v>
      </c>
      <c r="I108" s="3" t="s">
        <v>46</v>
      </c>
      <c r="J108" s="3" t="s">
        <v>47</v>
      </c>
      <c r="K108" s="3" t="s">
        <v>48</v>
      </c>
    </row>
    <row r="109" spans="1:11" ht="15.6" x14ac:dyDescent="0.3">
      <c r="A109" s="5"/>
      <c r="B109" s="1">
        <v>1139</v>
      </c>
      <c r="C109" s="2">
        <v>45173</v>
      </c>
      <c r="D109" s="1" t="s">
        <v>14</v>
      </c>
      <c r="E109" s="1">
        <v>4</v>
      </c>
      <c r="F109" s="1" t="s">
        <v>21</v>
      </c>
      <c r="G109" s="1">
        <v>21.14</v>
      </c>
      <c r="H109" s="1">
        <v>84.57</v>
      </c>
      <c r="I109" s="1" t="s">
        <v>46</v>
      </c>
      <c r="J109" s="1" t="s">
        <v>47</v>
      </c>
      <c r="K109" s="1" t="s">
        <v>48</v>
      </c>
    </row>
    <row r="110" spans="1:11" ht="15.6" x14ac:dyDescent="0.3">
      <c r="A110" s="5"/>
      <c r="B110" s="3">
        <v>1315</v>
      </c>
      <c r="C110" s="4">
        <v>45173</v>
      </c>
      <c r="D110" s="3" t="s">
        <v>23</v>
      </c>
      <c r="E110" s="3">
        <v>2</v>
      </c>
      <c r="F110" s="3" t="s">
        <v>18</v>
      </c>
      <c r="G110" s="3">
        <v>15.56</v>
      </c>
      <c r="H110" s="3">
        <v>31.12</v>
      </c>
      <c r="I110" s="3" t="s">
        <v>46</v>
      </c>
      <c r="J110" s="3" t="s">
        <v>47</v>
      </c>
      <c r="K110" s="3" t="s">
        <v>48</v>
      </c>
    </row>
    <row r="111" spans="1:11" ht="15.6" x14ac:dyDescent="0.3">
      <c r="A111" s="5"/>
      <c r="B111" s="1">
        <v>1015</v>
      </c>
      <c r="C111" s="2">
        <v>45179</v>
      </c>
      <c r="D111" s="1" t="s">
        <v>9</v>
      </c>
      <c r="E111" s="1">
        <v>3</v>
      </c>
      <c r="F111" s="1" t="s">
        <v>18</v>
      </c>
      <c r="G111" s="1">
        <v>72.739999999999995</v>
      </c>
      <c r="H111" s="1">
        <v>218.22</v>
      </c>
      <c r="I111" s="1" t="s">
        <v>46</v>
      </c>
      <c r="J111" s="1" t="s">
        <v>47</v>
      </c>
      <c r="K111" s="1" t="s">
        <v>48</v>
      </c>
    </row>
    <row r="112" spans="1:11" ht="15.6" x14ac:dyDescent="0.3">
      <c r="A112" s="5"/>
      <c r="B112" s="3">
        <v>1237</v>
      </c>
      <c r="C112" s="4">
        <v>45179</v>
      </c>
      <c r="D112" s="3" t="s">
        <v>16</v>
      </c>
      <c r="E112" s="3">
        <v>1</v>
      </c>
      <c r="F112" s="3" t="s">
        <v>10</v>
      </c>
      <c r="G112" s="3">
        <v>25.32</v>
      </c>
      <c r="H112" s="3">
        <v>25.32</v>
      </c>
      <c r="I112" s="3" t="s">
        <v>46</v>
      </c>
      <c r="J112" s="3" t="s">
        <v>47</v>
      </c>
      <c r="K112" s="3" t="s">
        <v>48</v>
      </c>
    </row>
    <row r="113" spans="1:11" ht="15.6" x14ac:dyDescent="0.3">
      <c r="A113" s="5"/>
      <c r="B113" s="1">
        <v>1177</v>
      </c>
      <c r="C113" s="2">
        <v>45180</v>
      </c>
      <c r="D113" s="1" t="s">
        <v>24</v>
      </c>
      <c r="E113" s="1">
        <v>2</v>
      </c>
      <c r="F113" s="1" t="s">
        <v>15</v>
      </c>
      <c r="G113" s="1">
        <v>61.18</v>
      </c>
      <c r="H113" s="1">
        <v>122.35</v>
      </c>
      <c r="I113" s="1" t="s">
        <v>46</v>
      </c>
      <c r="J113" s="1" t="s">
        <v>47</v>
      </c>
      <c r="K113" s="1" t="s">
        <v>48</v>
      </c>
    </row>
    <row r="114" spans="1:11" ht="15.6" x14ac:dyDescent="0.3">
      <c r="A114" s="5"/>
      <c r="B114" s="3">
        <v>1189</v>
      </c>
      <c r="C114" s="4">
        <v>45180</v>
      </c>
      <c r="D114" s="3" t="s">
        <v>28</v>
      </c>
      <c r="E114" s="3">
        <v>4</v>
      </c>
      <c r="F114" s="3" t="s">
        <v>21</v>
      </c>
      <c r="G114" s="3">
        <v>45.93</v>
      </c>
      <c r="H114" s="3">
        <v>183.72</v>
      </c>
      <c r="I114" s="3" t="s">
        <v>46</v>
      </c>
      <c r="J114" s="3" t="s">
        <v>47</v>
      </c>
      <c r="K114" s="3" t="s">
        <v>48</v>
      </c>
    </row>
    <row r="115" spans="1:11" ht="15.6" x14ac:dyDescent="0.3">
      <c r="A115" s="5"/>
      <c r="B115" s="1">
        <v>1488</v>
      </c>
      <c r="C115" s="2">
        <v>45182</v>
      </c>
      <c r="D115" s="1" t="s">
        <v>17</v>
      </c>
      <c r="E115" s="1">
        <v>6</v>
      </c>
      <c r="F115" s="1" t="s">
        <v>10</v>
      </c>
      <c r="G115" s="1">
        <v>18.77</v>
      </c>
      <c r="H115" s="1">
        <v>112.62</v>
      </c>
      <c r="I115" s="1" t="s">
        <v>46</v>
      </c>
      <c r="J115" s="1" t="s">
        <v>47</v>
      </c>
      <c r="K115" s="1" t="s">
        <v>48</v>
      </c>
    </row>
    <row r="116" spans="1:11" ht="15.6" x14ac:dyDescent="0.3">
      <c r="A116" s="5"/>
      <c r="B116" s="3">
        <v>1341</v>
      </c>
      <c r="C116" s="4">
        <v>45184</v>
      </c>
      <c r="D116" s="3" t="s">
        <v>24</v>
      </c>
      <c r="E116" s="3">
        <v>1</v>
      </c>
      <c r="F116" s="3" t="s">
        <v>10</v>
      </c>
      <c r="G116" s="3">
        <v>57.73</v>
      </c>
      <c r="H116" s="3">
        <v>57.73</v>
      </c>
      <c r="I116" s="3" t="s">
        <v>46</v>
      </c>
      <c r="J116" s="3" t="s">
        <v>47</v>
      </c>
      <c r="K116" s="3" t="s">
        <v>48</v>
      </c>
    </row>
    <row r="117" spans="1:11" ht="15.6" x14ac:dyDescent="0.3">
      <c r="A117" s="5"/>
      <c r="B117" s="1">
        <v>1169</v>
      </c>
      <c r="C117" s="2">
        <v>45189</v>
      </c>
      <c r="D117" s="1" t="s">
        <v>9</v>
      </c>
      <c r="E117" s="1">
        <v>2</v>
      </c>
      <c r="F117" s="1" t="s">
        <v>10</v>
      </c>
      <c r="G117" s="1">
        <v>62.37</v>
      </c>
      <c r="H117" s="1">
        <v>124.73</v>
      </c>
      <c r="I117" s="1" t="s">
        <v>46</v>
      </c>
      <c r="J117" s="1" t="s">
        <v>47</v>
      </c>
      <c r="K117" s="1" t="s">
        <v>48</v>
      </c>
    </row>
    <row r="118" spans="1:11" ht="15.6" x14ac:dyDescent="0.3">
      <c r="A118" s="5"/>
      <c r="B118" s="3">
        <v>1283</v>
      </c>
      <c r="C118" s="4">
        <v>45190</v>
      </c>
      <c r="D118" s="3" t="s">
        <v>14</v>
      </c>
      <c r="E118" s="3">
        <v>6</v>
      </c>
      <c r="F118" s="3" t="s">
        <v>21</v>
      </c>
      <c r="G118" s="3">
        <v>23.02</v>
      </c>
      <c r="H118" s="3">
        <v>138.12</v>
      </c>
      <c r="I118" s="3" t="s">
        <v>46</v>
      </c>
      <c r="J118" s="3" t="s">
        <v>47</v>
      </c>
      <c r="K118" s="3" t="s">
        <v>48</v>
      </c>
    </row>
    <row r="119" spans="1:11" ht="15.6" x14ac:dyDescent="0.3">
      <c r="A119" s="5"/>
      <c r="B119" s="1">
        <v>1394</v>
      </c>
      <c r="C119" s="2">
        <v>45191</v>
      </c>
      <c r="D119" s="1" t="s">
        <v>23</v>
      </c>
      <c r="E119" s="1">
        <v>4</v>
      </c>
      <c r="F119" s="1" t="s">
        <v>10</v>
      </c>
      <c r="G119" s="1">
        <v>14.41</v>
      </c>
      <c r="H119" s="1">
        <v>57.63</v>
      </c>
      <c r="I119" s="1" t="s">
        <v>46</v>
      </c>
      <c r="J119" s="1" t="s">
        <v>47</v>
      </c>
      <c r="K119" s="1" t="s">
        <v>48</v>
      </c>
    </row>
    <row r="120" spans="1:11" ht="15.6" x14ac:dyDescent="0.3">
      <c r="A120" s="5"/>
      <c r="B120" s="3">
        <v>1295</v>
      </c>
      <c r="C120" s="4">
        <v>45195</v>
      </c>
      <c r="D120" s="3" t="s">
        <v>23</v>
      </c>
      <c r="E120" s="3">
        <v>5</v>
      </c>
      <c r="F120" s="3" t="s">
        <v>21</v>
      </c>
      <c r="G120" s="3">
        <v>14.31</v>
      </c>
      <c r="H120" s="3">
        <v>71.540000000000006</v>
      </c>
      <c r="I120" s="3" t="s">
        <v>46</v>
      </c>
      <c r="J120" s="3" t="s">
        <v>47</v>
      </c>
      <c r="K120" s="3" t="s">
        <v>48</v>
      </c>
    </row>
    <row r="121" spans="1:11" ht="15.6" x14ac:dyDescent="0.3">
      <c r="A121" s="5"/>
      <c r="B121" s="1">
        <v>1055</v>
      </c>
      <c r="C121" s="2">
        <v>45196</v>
      </c>
      <c r="D121" s="1" t="s">
        <v>17</v>
      </c>
      <c r="E121" s="1">
        <v>5</v>
      </c>
      <c r="F121" s="1" t="s">
        <v>21</v>
      </c>
      <c r="G121" s="1">
        <v>19.27</v>
      </c>
      <c r="H121" s="1">
        <v>96.37</v>
      </c>
      <c r="I121" s="1" t="s">
        <v>46</v>
      </c>
      <c r="J121" s="1" t="s">
        <v>47</v>
      </c>
      <c r="K121" s="1" t="s">
        <v>48</v>
      </c>
    </row>
    <row r="122" spans="1:11" ht="15.6" x14ac:dyDescent="0.3">
      <c r="A122" s="5"/>
      <c r="B122" s="3">
        <v>1012</v>
      </c>
      <c r="C122" s="4">
        <v>45203</v>
      </c>
      <c r="D122" s="3" t="s">
        <v>20</v>
      </c>
      <c r="E122" s="3">
        <v>5</v>
      </c>
      <c r="F122" s="3" t="s">
        <v>21</v>
      </c>
      <c r="G122" s="3">
        <v>8.2200000000000006</v>
      </c>
      <c r="H122" s="3">
        <v>41.12</v>
      </c>
      <c r="I122" s="3" t="s">
        <v>49</v>
      </c>
      <c r="J122" s="3" t="s">
        <v>50</v>
      </c>
      <c r="K122" s="3" t="s">
        <v>51</v>
      </c>
    </row>
    <row r="123" spans="1:11" ht="15.6" x14ac:dyDescent="0.3">
      <c r="A123" s="5"/>
      <c r="B123" s="1">
        <v>1381</v>
      </c>
      <c r="C123" s="2">
        <v>45205</v>
      </c>
      <c r="D123" s="1" t="s">
        <v>23</v>
      </c>
      <c r="E123" s="1">
        <v>3</v>
      </c>
      <c r="F123" s="1" t="s">
        <v>15</v>
      </c>
      <c r="G123" s="1">
        <v>15.72</v>
      </c>
      <c r="H123" s="1">
        <v>47.17</v>
      </c>
      <c r="I123" s="1" t="s">
        <v>49</v>
      </c>
      <c r="J123" s="1" t="s">
        <v>50</v>
      </c>
      <c r="K123" s="1" t="s">
        <v>51</v>
      </c>
    </row>
    <row r="124" spans="1:11" ht="15.6" x14ac:dyDescent="0.3">
      <c r="A124" s="5"/>
      <c r="B124" s="3">
        <v>1229</v>
      </c>
      <c r="C124" s="4">
        <v>45206</v>
      </c>
      <c r="D124" s="3" t="s">
        <v>16</v>
      </c>
      <c r="E124" s="3">
        <v>5</v>
      </c>
      <c r="F124" s="3" t="s">
        <v>15</v>
      </c>
      <c r="G124" s="3">
        <v>23.69</v>
      </c>
      <c r="H124" s="3">
        <v>118.46</v>
      </c>
      <c r="I124" s="3" t="s">
        <v>49</v>
      </c>
      <c r="J124" s="3" t="s">
        <v>50</v>
      </c>
      <c r="K124" s="3" t="s">
        <v>51</v>
      </c>
    </row>
    <row r="125" spans="1:11" ht="15.6" x14ac:dyDescent="0.3">
      <c r="A125" s="5"/>
      <c r="B125" s="1">
        <v>1146</v>
      </c>
      <c r="C125" s="2">
        <v>45206</v>
      </c>
      <c r="D125" s="1" t="s">
        <v>22</v>
      </c>
      <c r="E125" s="1">
        <v>1</v>
      </c>
      <c r="F125" s="1" t="s">
        <v>21</v>
      </c>
      <c r="G125" s="1">
        <v>11.21</v>
      </c>
      <c r="H125" s="1">
        <v>11.21</v>
      </c>
      <c r="I125" s="1" t="s">
        <v>49</v>
      </c>
      <c r="J125" s="1" t="s">
        <v>50</v>
      </c>
      <c r="K125" s="1" t="s">
        <v>51</v>
      </c>
    </row>
    <row r="126" spans="1:11" ht="15.6" x14ac:dyDescent="0.3">
      <c r="A126" s="5"/>
      <c r="B126" s="3">
        <v>1216</v>
      </c>
      <c r="C126" s="4">
        <v>45210</v>
      </c>
      <c r="D126" s="3" t="s">
        <v>14</v>
      </c>
      <c r="E126" s="3">
        <v>4</v>
      </c>
      <c r="F126" s="3" t="s">
        <v>18</v>
      </c>
      <c r="G126" s="3">
        <v>21.12</v>
      </c>
      <c r="H126" s="3">
        <v>84.48</v>
      </c>
      <c r="I126" s="3" t="s">
        <v>49</v>
      </c>
      <c r="J126" s="3" t="s">
        <v>50</v>
      </c>
      <c r="K126" s="3" t="s">
        <v>51</v>
      </c>
    </row>
    <row r="127" spans="1:11" ht="15.6" x14ac:dyDescent="0.3">
      <c r="A127" s="5"/>
      <c r="B127" s="1">
        <v>1350</v>
      </c>
      <c r="C127" s="2">
        <v>45211</v>
      </c>
      <c r="D127" s="1" t="s">
        <v>16</v>
      </c>
      <c r="E127" s="1">
        <v>2</v>
      </c>
      <c r="F127" s="1" t="s">
        <v>18</v>
      </c>
      <c r="G127" s="1">
        <v>25.56</v>
      </c>
      <c r="H127" s="1">
        <v>51.13</v>
      </c>
      <c r="I127" s="1" t="s">
        <v>49</v>
      </c>
      <c r="J127" s="1" t="s">
        <v>50</v>
      </c>
      <c r="K127" s="1" t="s">
        <v>51</v>
      </c>
    </row>
    <row r="128" spans="1:11" ht="15.6" x14ac:dyDescent="0.3">
      <c r="A128" s="5"/>
      <c r="B128" s="3">
        <v>1076</v>
      </c>
      <c r="C128" s="4">
        <v>45215</v>
      </c>
      <c r="D128" s="3" t="s">
        <v>19</v>
      </c>
      <c r="E128" s="3">
        <v>4</v>
      </c>
      <c r="F128" s="3" t="s">
        <v>15</v>
      </c>
      <c r="G128" s="3">
        <v>34.26</v>
      </c>
      <c r="H128" s="3">
        <v>137.03</v>
      </c>
      <c r="I128" s="3" t="s">
        <v>49</v>
      </c>
      <c r="J128" s="3" t="s">
        <v>50</v>
      </c>
      <c r="K128" s="3" t="s">
        <v>51</v>
      </c>
    </row>
    <row r="129" spans="1:11" ht="15.6" x14ac:dyDescent="0.3">
      <c r="A129" s="5"/>
      <c r="B129" s="1">
        <v>1145</v>
      </c>
      <c r="C129" s="2">
        <v>45220</v>
      </c>
      <c r="D129" s="1" t="s">
        <v>9</v>
      </c>
      <c r="E129" s="1">
        <v>6</v>
      </c>
      <c r="F129" s="1" t="s">
        <v>15</v>
      </c>
      <c r="G129" s="1">
        <v>72.03</v>
      </c>
      <c r="H129" s="1">
        <v>432.19</v>
      </c>
      <c r="I129" s="1" t="s">
        <v>49</v>
      </c>
      <c r="J129" s="1" t="s">
        <v>50</v>
      </c>
      <c r="K129" s="1" t="s">
        <v>51</v>
      </c>
    </row>
    <row r="130" spans="1:11" ht="15.6" x14ac:dyDescent="0.3">
      <c r="A130" s="5"/>
      <c r="B130" s="3">
        <v>1059</v>
      </c>
      <c r="C130" s="4">
        <v>45222</v>
      </c>
      <c r="D130" s="3" t="s">
        <v>19</v>
      </c>
      <c r="E130" s="3">
        <v>6</v>
      </c>
      <c r="F130" s="3" t="s">
        <v>15</v>
      </c>
      <c r="G130" s="3">
        <v>32.4</v>
      </c>
      <c r="H130" s="3">
        <v>194.41</v>
      </c>
      <c r="I130" s="3" t="s">
        <v>49</v>
      </c>
      <c r="J130" s="3" t="s">
        <v>50</v>
      </c>
      <c r="K130" s="3" t="s">
        <v>51</v>
      </c>
    </row>
    <row r="131" spans="1:11" ht="15.6" x14ac:dyDescent="0.3">
      <c r="A131" s="5"/>
      <c r="B131" s="1">
        <v>1231</v>
      </c>
      <c r="C131" s="2">
        <v>45228</v>
      </c>
      <c r="D131" s="1" t="s">
        <v>24</v>
      </c>
      <c r="E131" s="1">
        <v>4</v>
      </c>
      <c r="F131" s="1" t="s">
        <v>21</v>
      </c>
      <c r="G131" s="1">
        <v>52.9</v>
      </c>
      <c r="H131" s="1">
        <v>211.62</v>
      </c>
      <c r="I131" s="1" t="s">
        <v>49</v>
      </c>
      <c r="J131" s="1" t="s">
        <v>50</v>
      </c>
      <c r="K131" s="1" t="s">
        <v>51</v>
      </c>
    </row>
    <row r="132" spans="1:11" ht="15.6" x14ac:dyDescent="0.3">
      <c r="A132" s="5"/>
      <c r="B132" s="3">
        <v>1276</v>
      </c>
      <c r="C132" s="4">
        <v>45231</v>
      </c>
      <c r="D132" s="3" t="s">
        <v>9</v>
      </c>
      <c r="E132" s="3">
        <v>4</v>
      </c>
      <c r="F132" s="3" t="s">
        <v>15</v>
      </c>
      <c r="G132" s="3">
        <v>64.11</v>
      </c>
      <c r="H132" s="3">
        <v>256.44</v>
      </c>
      <c r="I132" s="3" t="s">
        <v>52</v>
      </c>
      <c r="J132" s="3" t="s">
        <v>53</v>
      </c>
      <c r="K132" s="3" t="s">
        <v>54</v>
      </c>
    </row>
    <row r="133" spans="1:11" ht="15.6" x14ac:dyDescent="0.3">
      <c r="A133" s="5"/>
      <c r="B133" s="1">
        <v>1274</v>
      </c>
      <c r="C133" s="2">
        <v>45240</v>
      </c>
      <c r="D133" s="1" t="s">
        <v>28</v>
      </c>
      <c r="E133" s="1">
        <v>4</v>
      </c>
      <c r="F133" s="1" t="s">
        <v>21</v>
      </c>
      <c r="G133" s="1">
        <v>44.07</v>
      </c>
      <c r="H133" s="1">
        <v>176.3</v>
      </c>
      <c r="I133" s="1" t="s">
        <v>52</v>
      </c>
      <c r="J133" s="1" t="s">
        <v>53</v>
      </c>
      <c r="K133" s="1" t="s">
        <v>54</v>
      </c>
    </row>
    <row r="134" spans="1:11" ht="15.6" x14ac:dyDescent="0.3">
      <c r="A134" s="5"/>
      <c r="B134" s="3">
        <v>1034</v>
      </c>
      <c r="C134" s="4">
        <v>45242</v>
      </c>
      <c r="D134" s="3" t="s">
        <v>9</v>
      </c>
      <c r="E134" s="3">
        <v>2</v>
      </c>
      <c r="F134" s="3" t="s">
        <v>10</v>
      </c>
      <c r="G134" s="3">
        <v>64.77</v>
      </c>
      <c r="H134" s="3">
        <v>129.53</v>
      </c>
      <c r="I134" s="3" t="s">
        <v>52</v>
      </c>
      <c r="J134" s="3" t="s">
        <v>53</v>
      </c>
      <c r="K134" s="3" t="s">
        <v>54</v>
      </c>
    </row>
    <row r="135" spans="1:11" ht="15.6" x14ac:dyDescent="0.3">
      <c r="A135" s="5"/>
      <c r="B135" s="1">
        <v>1125</v>
      </c>
      <c r="C135" s="2">
        <v>45244</v>
      </c>
      <c r="D135" s="1" t="s">
        <v>16</v>
      </c>
      <c r="E135" s="1">
        <v>4</v>
      </c>
      <c r="F135" s="1" t="s">
        <v>21</v>
      </c>
      <c r="G135" s="1">
        <v>23.47</v>
      </c>
      <c r="H135" s="1">
        <v>93.88</v>
      </c>
      <c r="I135" s="1" t="s">
        <v>52</v>
      </c>
      <c r="J135" s="1" t="s">
        <v>53</v>
      </c>
      <c r="K135" s="1" t="s">
        <v>54</v>
      </c>
    </row>
    <row r="136" spans="1:11" ht="15.6" x14ac:dyDescent="0.3">
      <c r="A136" s="5"/>
      <c r="B136" s="3">
        <v>1262</v>
      </c>
      <c r="C136" s="4">
        <v>45247</v>
      </c>
      <c r="D136" s="3" t="s">
        <v>19</v>
      </c>
      <c r="E136" s="3">
        <v>4</v>
      </c>
      <c r="F136" s="3" t="s">
        <v>10</v>
      </c>
      <c r="G136" s="3">
        <v>35.69</v>
      </c>
      <c r="H136" s="3">
        <v>142.76</v>
      </c>
      <c r="I136" s="3" t="s">
        <v>52</v>
      </c>
      <c r="J136" s="3" t="s">
        <v>53</v>
      </c>
      <c r="K136" s="3" t="s">
        <v>54</v>
      </c>
    </row>
    <row r="137" spans="1:11" ht="15.6" x14ac:dyDescent="0.3">
      <c r="A137" s="5"/>
      <c r="B137" s="1">
        <v>1003</v>
      </c>
      <c r="C137" s="2">
        <v>45257</v>
      </c>
      <c r="D137" s="1" t="s">
        <v>22</v>
      </c>
      <c r="E137" s="1">
        <v>2</v>
      </c>
      <c r="F137" s="1" t="s">
        <v>10</v>
      </c>
      <c r="G137" s="1">
        <v>11.85</v>
      </c>
      <c r="H137" s="1">
        <v>23.69</v>
      </c>
      <c r="I137" s="1" t="s">
        <v>52</v>
      </c>
      <c r="J137" s="1" t="s">
        <v>53</v>
      </c>
      <c r="K137" s="1" t="s">
        <v>54</v>
      </c>
    </row>
    <row r="138" spans="1:11" ht="15.6" x14ac:dyDescent="0.3">
      <c r="A138" s="5"/>
      <c r="B138" s="3">
        <v>1340</v>
      </c>
      <c r="C138" s="4">
        <v>45262</v>
      </c>
      <c r="D138" s="3" t="s">
        <v>9</v>
      </c>
      <c r="E138" s="3">
        <v>5</v>
      </c>
      <c r="F138" s="3" t="s">
        <v>21</v>
      </c>
      <c r="G138" s="3">
        <v>65.63</v>
      </c>
      <c r="H138" s="3">
        <v>328.17</v>
      </c>
      <c r="I138" s="3" t="s">
        <v>55</v>
      </c>
      <c r="J138" s="3" t="s">
        <v>56</v>
      </c>
      <c r="K138" s="3" t="s">
        <v>57</v>
      </c>
    </row>
    <row r="139" spans="1:11" ht="15.6" x14ac:dyDescent="0.3">
      <c r="A139" s="5"/>
      <c r="B139" s="1">
        <v>1164</v>
      </c>
      <c r="C139" s="2">
        <v>45264</v>
      </c>
      <c r="D139" s="1" t="s">
        <v>24</v>
      </c>
      <c r="E139" s="1">
        <v>2</v>
      </c>
      <c r="F139" s="1" t="s">
        <v>10</v>
      </c>
      <c r="G139" s="1">
        <v>59.72</v>
      </c>
      <c r="H139" s="1">
        <v>119.44</v>
      </c>
      <c r="I139" s="1" t="s">
        <v>55</v>
      </c>
      <c r="J139" s="1" t="s">
        <v>56</v>
      </c>
      <c r="K139" s="1" t="s">
        <v>57</v>
      </c>
    </row>
    <row r="140" spans="1:11" ht="15.6" x14ac:dyDescent="0.3">
      <c r="A140" s="5"/>
      <c r="B140" s="3">
        <v>1061</v>
      </c>
      <c r="C140" s="4">
        <v>45264</v>
      </c>
      <c r="D140" s="3" t="s">
        <v>23</v>
      </c>
      <c r="E140" s="3">
        <v>4</v>
      </c>
      <c r="F140" s="3" t="s">
        <v>18</v>
      </c>
      <c r="G140" s="3">
        <v>14.75</v>
      </c>
      <c r="H140" s="3">
        <v>59.01</v>
      </c>
      <c r="I140" s="3" t="s">
        <v>55</v>
      </c>
      <c r="J140" s="3" t="s">
        <v>56</v>
      </c>
      <c r="K140" s="3" t="s">
        <v>57</v>
      </c>
    </row>
    <row r="141" spans="1:11" ht="15.6" x14ac:dyDescent="0.3">
      <c r="A141" s="5"/>
      <c r="B141" s="1">
        <v>1195</v>
      </c>
      <c r="C141" s="2">
        <v>45264</v>
      </c>
      <c r="D141" s="1" t="s">
        <v>9</v>
      </c>
      <c r="E141" s="1">
        <v>2</v>
      </c>
      <c r="F141" s="1" t="s">
        <v>15</v>
      </c>
      <c r="G141" s="1">
        <v>67.45</v>
      </c>
      <c r="H141" s="1">
        <v>134.88999999999999</v>
      </c>
      <c r="I141" s="1" t="s">
        <v>55</v>
      </c>
      <c r="J141" s="1" t="s">
        <v>56</v>
      </c>
      <c r="K141" s="1" t="s">
        <v>57</v>
      </c>
    </row>
    <row r="142" spans="1:11" ht="15.6" x14ac:dyDescent="0.3">
      <c r="A142" s="5"/>
      <c r="B142" s="3">
        <v>1423</v>
      </c>
      <c r="C142" s="4">
        <v>45265</v>
      </c>
      <c r="D142" s="3" t="s">
        <v>17</v>
      </c>
      <c r="E142" s="3">
        <v>3</v>
      </c>
      <c r="F142" s="3" t="s">
        <v>10</v>
      </c>
      <c r="G142" s="3">
        <v>19.04</v>
      </c>
      <c r="H142" s="3">
        <v>57.11</v>
      </c>
      <c r="I142" s="3" t="s">
        <v>55</v>
      </c>
      <c r="J142" s="3" t="s">
        <v>56</v>
      </c>
      <c r="K142" s="3" t="s">
        <v>57</v>
      </c>
    </row>
    <row r="143" spans="1:11" ht="15.6" x14ac:dyDescent="0.3">
      <c r="A143" s="5"/>
      <c r="B143" s="1">
        <v>1328</v>
      </c>
      <c r="C143" s="2">
        <v>45267</v>
      </c>
      <c r="D143" s="1" t="s">
        <v>19</v>
      </c>
      <c r="E143" s="1">
        <v>4</v>
      </c>
      <c r="F143" s="1" t="s">
        <v>18</v>
      </c>
      <c r="G143" s="1">
        <v>34.090000000000003</v>
      </c>
      <c r="H143" s="1">
        <v>136.37</v>
      </c>
      <c r="I143" s="1" t="s">
        <v>55</v>
      </c>
      <c r="J143" s="1" t="s">
        <v>56</v>
      </c>
      <c r="K143" s="1" t="s">
        <v>57</v>
      </c>
    </row>
    <row r="144" spans="1:11" ht="15.6" x14ac:dyDescent="0.3">
      <c r="A144" s="5"/>
      <c r="B144" s="3">
        <v>1008</v>
      </c>
      <c r="C144" s="4">
        <v>45270</v>
      </c>
      <c r="D144" s="3" t="s">
        <v>23</v>
      </c>
      <c r="E144" s="3">
        <v>5</v>
      </c>
      <c r="F144" s="3" t="s">
        <v>21</v>
      </c>
      <c r="G144" s="3">
        <v>16.43</v>
      </c>
      <c r="H144" s="3">
        <v>82.15</v>
      </c>
      <c r="I144" s="3" t="s">
        <v>55</v>
      </c>
      <c r="J144" s="3" t="s">
        <v>56</v>
      </c>
      <c r="K144" s="3" t="s">
        <v>57</v>
      </c>
    </row>
    <row r="145" spans="1:11" ht="15.6" x14ac:dyDescent="0.3">
      <c r="A145" s="5"/>
      <c r="B145" s="1">
        <v>1171</v>
      </c>
      <c r="C145" s="2">
        <v>45272</v>
      </c>
      <c r="D145" s="1" t="s">
        <v>20</v>
      </c>
      <c r="E145" s="1">
        <v>6</v>
      </c>
      <c r="F145" s="1" t="s">
        <v>15</v>
      </c>
      <c r="G145" s="1">
        <v>7.79</v>
      </c>
      <c r="H145" s="1">
        <v>46.76</v>
      </c>
      <c r="I145" s="1" t="s">
        <v>55</v>
      </c>
      <c r="J145" s="1" t="s">
        <v>56</v>
      </c>
      <c r="K145" s="1" t="s">
        <v>57</v>
      </c>
    </row>
    <row r="146" spans="1:11" ht="15.6" x14ac:dyDescent="0.3">
      <c r="A146" s="5"/>
      <c r="B146" s="3">
        <v>1442</v>
      </c>
      <c r="C146" s="4">
        <v>45274</v>
      </c>
      <c r="D146" s="3" t="s">
        <v>24</v>
      </c>
      <c r="E146" s="3">
        <v>6</v>
      </c>
      <c r="F146" s="3" t="s">
        <v>21</v>
      </c>
      <c r="G146" s="3">
        <v>61.21</v>
      </c>
      <c r="H146" s="3">
        <v>367.24</v>
      </c>
      <c r="I146" s="3" t="s">
        <v>55</v>
      </c>
      <c r="J146" s="3" t="s">
        <v>56</v>
      </c>
      <c r="K146" s="3" t="s">
        <v>57</v>
      </c>
    </row>
    <row r="147" spans="1:11" ht="15.6" x14ac:dyDescent="0.3">
      <c r="A147" s="5"/>
      <c r="B147" s="1">
        <v>1330</v>
      </c>
      <c r="C147" s="2">
        <v>45283</v>
      </c>
      <c r="D147" s="1" t="s">
        <v>22</v>
      </c>
      <c r="E147" s="1">
        <v>2</v>
      </c>
      <c r="F147" s="1" t="s">
        <v>21</v>
      </c>
      <c r="G147" s="1">
        <v>11.95</v>
      </c>
      <c r="H147" s="1">
        <v>23.91</v>
      </c>
      <c r="I147" s="1" t="s">
        <v>55</v>
      </c>
      <c r="J147" s="1" t="s">
        <v>56</v>
      </c>
      <c r="K147" s="1" t="s">
        <v>57</v>
      </c>
    </row>
    <row r="148" spans="1:11" ht="15.6" x14ac:dyDescent="0.3">
      <c r="A148" s="5"/>
      <c r="B148" s="3">
        <v>1465</v>
      </c>
      <c r="C148" s="4">
        <v>45284</v>
      </c>
      <c r="D148" s="3" t="s">
        <v>16</v>
      </c>
      <c r="E148" s="3">
        <v>4</v>
      </c>
      <c r="F148" s="3" t="s">
        <v>21</v>
      </c>
      <c r="G148" s="3">
        <v>26.2</v>
      </c>
      <c r="H148" s="3">
        <v>104.8</v>
      </c>
      <c r="I148" s="3" t="s">
        <v>55</v>
      </c>
      <c r="J148" s="3" t="s">
        <v>56</v>
      </c>
      <c r="K148" s="3" t="s">
        <v>57</v>
      </c>
    </row>
    <row r="149" spans="1:11" ht="15.6" x14ac:dyDescent="0.3">
      <c r="A149" s="5"/>
      <c r="B149" s="1">
        <v>1296</v>
      </c>
      <c r="C149" s="2">
        <v>45296</v>
      </c>
      <c r="D149" s="1" t="s">
        <v>19</v>
      </c>
      <c r="E149" s="1">
        <v>2</v>
      </c>
      <c r="F149" s="1" t="s">
        <v>18</v>
      </c>
      <c r="G149" s="1">
        <v>34.08</v>
      </c>
      <c r="H149" s="1">
        <v>68.150000000000006</v>
      </c>
      <c r="I149" s="1" t="s">
        <v>58</v>
      </c>
      <c r="J149" s="1" t="s">
        <v>59</v>
      </c>
      <c r="K149" s="1" t="s">
        <v>60</v>
      </c>
    </row>
    <row r="150" spans="1:11" ht="15.6" x14ac:dyDescent="0.3">
      <c r="A150" s="5"/>
      <c r="B150" s="3">
        <v>1468</v>
      </c>
      <c r="C150" s="4">
        <v>45299</v>
      </c>
      <c r="D150" s="3" t="s">
        <v>22</v>
      </c>
      <c r="E150" s="3">
        <v>1</v>
      </c>
      <c r="F150" s="3" t="s">
        <v>21</v>
      </c>
      <c r="G150" s="3">
        <v>12.39</v>
      </c>
      <c r="H150" s="3">
        <v>12.39</v>
      </c>
      <c r="I150" s="3" t="s">
        <v>58</v>
      </c>
      <c r="J150" s="3" t="s">
        <v>59</v>
      </c>
      <c r="K150" s="3" t="s">
        <v>60</v>
      </c>
    </row>
    <row r="151" spans="1:11" ht="15.6" x14ac:dyDescent="0.3">
      <c r="A151" s="5"/>
      <c r="B151" s="1">
        <v>1497</v>
      </c>
      <c r="C151" s="2">
        <v>45300</v>
      </c>
      <c r="D151" s="1" t="s">
        <v>22</v>
      </c>
      <c r="E151" s="1">
        <v>4</v>
      </c>
      <c r="F151" s="1" t="s">
        <v>18</v>
      </c>
      <c r="G151" s="1">
        <v>12.62</v>
      </c>
      <c r="H151" s="1">
        <v>50.49</v>
      </c>
      <c r="I151" s="1" t="s">
        <v>58</v>
      </c>
      <c r="J151" s="1" t="s">
        <v>59</v>
      </c>
      <c r="K151" s="1" t="s">
        <v>60</v>
      </c>
    </row>
    <row r="152" spans="1:11" ht="15.6" x14ac:dyDescent="0.3">
      <c r="A152" s="5"/>
      <c r="B152" s="3">
        <v>1077</v>
      </c>
      <c r="C152" s="4">
        <v>45305</v>
      </c>
      <c r="D152" s="3" t="s">
        <v>19</v>
      </c>
      <c r="E152" s="3">
        <v>3</v>
      </c>
      <c r="F152" s="3" t="s">
        <v>10</v>
      </c>
      <c r="G152" s="3">
        <v>33.869999999999997</v>
      </c>
      <c r="H152" s="3">
        <v>101.61</v>
      </c>
      <c r="I152" s="3" t="s">
        <v>58</v>
      </c>
      <c r="J152" s="3" t="s">
        <v>59</v>
      </c>
      <c r="K152" s="3" t="s">
        <v>60</v>
      </c>
    </row>
    <row r="153" spans="1:11" ht="15.6" x14ac:dyDescent="0.3">
      <c r="A153" s="5"/>
      <c r="B153" s="1">
        <v>1067</v>
      </c>
      <c r="C153" s="2">
        <v>45306</v>
      </c>
      <c r="D153" s="1" t="s">
        <v>24</v>
      </c>
      <c r="E153" s="1">
        <v>9</v>
      </c>
      <c r="F153" s="1" t="s">
        <v>21</v>
      </c>
      <c r="G153" s="1">
        <v>55.47</v>
      </c>
      <c r="H153" s="1">
        <v>499.27</v>
      </c>
      <c r="I153" s="1" t="s">
        <v>58</v>
      </c>
      <c r="J153" s="1" t="s">
        <v>59</v>
      </c>
      <c r="K153" s="1" t="s">
        <v>60</v>
      </c>
    </row>
    <row r="154" spans="1:11" ht="15.6" x14ac:dyDescent="0.3">
      <c r="A154" s="5"/>
      <c r="B154" s="3">
        <v>1347</v>
      </c>
      <c r="C154" s="4">
        <v>45306</v>
      </c>
      <c r="D154" s="3" t="s">
        <v>24</v>
      </c>
      <c r="E154" s="3">
        <v>4</v>
      </c>
      <c r="F154" s="3" t="s">
        <v>21</v>
      </c>
      <c r="G154" s="3">
        <v>56.58</v>
      </c>
      <c r="H154" s="3">
        <v>226.33</v>
      </c>
      <c r="I154" s="3" t="s">
        <v>58</v>
      </c>
      <c r="J154" s="3" t="s">
        <v>59</v>
      </c>
      <c r="K154" s="3" t="s">
        <v>60</v>
      </c>
    </row>
    <row r="155" spans="1:11" ht="15.6" x14ac:dyDescent="0.3">
      <c r="A155" s="5"/>
      <c r="B155" s="1">
        <v>1137</v>
      </c>
      <c r="C155" s="2">
        <v>45311</v>
      </c>
      <c r="D155" s="1" t="s">
        <v>22</v>
      </c>
      <c r="E155" s="1">
        <v>1</v>
      </c>
      <c r="F155" s="1" t="s">
        <v>21</v>
      </c>
      <c r="G155" s="1">
        <v>11.45</v>
      </c>
      <c r="H155" s="1">
        <v>11.45</v>
      </c>
      <c r="I155" s="1" t="s">
        <v>58</v>
      </c>
      <c r="J155" s="1" t="s">
        <v>59</v>
      </c>
      <c r="K155" s="1" t="s">
        <v>60</v>
      </c>
    </row>
    <row r="156" spans="1:11" ht="15.6" x14ac:dyDescent="0.3">
      <c r="A156" s="5"/>
      <c r="B156" s="3">
        <v>1010</v>
      </c>
      <c r="C156" s="4">
        <v>45312</v>
      </c>
      <c r="D156" s="3" t="s">
        <v>16</v>
      </c>
      <c r="E156" s="3">
        <v>1</v>
      </c>
      <c r="F156" s="3" t="s">
        <v>15</v>
      </c>
      <c r="G156" s="3">
        <v>23.1</v>
      </c>
      <c r="H156" s="3">
        <v>23.1</v>
      </c>
      <c r="I156" s="3" t="s">
        <v>58</v>
      </c>
      <c r="J156" s="3" t="s">
        <v>59</v>
      </c>
      <c r="K156" s="3" t="s">
        <v>60</v>
      </c>
    </row>
    <row r="157" spans="1:11" ht="15.6" x14ac:dyDescent="0.3">
      <c r="A157" s="5"/>
      <c r="B157" s="1">
        <v>1441</v>
      </c>
      <c r="C157" s="2">
        <v>45313</v>
      </c>
      <c r="D157" s="1" t="s">
        <v>20</v>
      </c>
      <c r="E157" s="1">
        <v>2</v>
      </c>
      <c r="F157" s="1" t="s">
        <v>10</v>
      </c>
      <c r="G157" s="1">
        <v>7.42</v>
      </c>
      <c r="H157" s="1">
        <v>14.83</v>
      </c>
      <c r="I157" s="1" t="s">
        <v>58</v>
      </c>
      <c r="J157" s="1" t="s">
        <v>59</v>
      </c>
      <c r="K157" s="1" t="s">
        <v>60</v>
      </c>
    </row>
    <row r="158" spans="1:11" ht="15.6" x14ac:dyDescent="0.3">
      <c r="A158" s="5"/>
      <c r="B158" s="3">
        <v>1032</v>
      </c>
      <c r="C158" s="4">
        <v>45314</v>
      </c>
      <c r="D158" s="3" t="s">
        <v>19</v>
      </c>
      <c r="E158" s="3">
        <v>5</v>
      </c>
      <c r="F158" s="3" t="s">
        <v>15</v>
      </c>
      <c r="G158" s="3">
        <v>38.619999999999997</v>
      </c>
      <c r="H158" s="3">
        <v>193.09</v>
      </c>
      <c r="I158" s="3" t="s">
        <v>58</v>
      </c>
      <c r="J158" s="3" t="s">
        <v>59</v>
      </c>
      <c r="K158" s="3" t="s">
        <v>60</v>
      </c>
    </row>
    <row r="159" spans="1:11" ht="15.6" x14ac:dyDescent="0.3">
      <c r="A159" s="5"/>
      <c r="B159" s="1">
        <v>1486</v>
      </c>
      <c r="C159" s="2">
        <v>45316</v>
      </c>
      <c r="D159" s="1" t="s">
        <v>22</v>
      </c>
      <c r="E159" s="1">
        <v>4</v>
      </c>
      <c r="F159" s="1" t="s">
        <v>15</v>
      </c>
      <c r="G159" s="1">
        <v>13.06</v>
      </c>
      <c r="H159" s="1">
        <v>52.24</v>
      </c>
      <c r="I159" s="1" t="s">
        <v>58</v>
      </c>
      <c r="J159" s="1" t="s">
        <v>59</v>
      </c>
      <c r="K159" s="1" t="s">
        <v>60</v>
      </c>
    </row>
    <row r="160" spans="1:11" ht="15.6" x14ac:dyDescent="0.3">
      <c r="A160" s="5"/>
      <c r="B160" s="3">
        <v>1074</v>
      </c>
      <c r="C160" s="4">
        <v>45318</v>
      </c>
      <c r="D160" s="3" t="s">
        <v>28</v>
      </c>
      <c r="E160" s="3">
        <v>3</v>
      </c>
      <c r="F160" s="3" t="s">
        <v>15</v>
      </c>
      <c r="G160" s="3">
        <v>45.67</v>
      </c>
      <c r="H160" s="3">
        <v>137.01</v>
      </c>
      <c r="I160" s="3" t="s">
        <v>58</v>
      </c>
      <c r="J160" s="3" t="s">
        <v>59</v>
      </c>
      <c r="K160" s="3" t="s">
        <v>60</v>
      </c>
    </row>
    <row r="161" spans="1:11" ht="15.6" x14ac:dyDescent="0.3">
      <c r="A161" s="5"/>
      <c r="B161" s="1">
        <v>1100</v>
      </c>
      <c r="C161" s="2">
        <v>45319</v>
      </c>
      <c r="D161" s="1" t="s">
        <v>22</v>
      </c>
      <c r="E161" s="1">
        <v>2</v>
      </c>
      <c r="F161" s="1" t="s">
        <v>10</v>
      </c>
      <c r="G161" s="1">
        <v>11.61</v>
      </c>
      <c r="H161" s="1">
        <v>23.22</v>
      </c>
      <c r="I161" s="1" t="s">
        <v>58</v>
      </c>
      <c r="J161" s="1" t="s">
        <v>59</v>
      </c>
      <c r="K161" s="1" t="s">
        <v>60</v>
      </c>
    </row>
    <row r="162" spans="1:11" ht="15.6" x14ac:dyDescent="0.3">
      <c r="A162" s="5"/>
      <c r="B162" s="3">
        <v>1391</v>
      </c>
      <c r="C162" s="4">
        <v>45322</v>
      </c>
      <c r="D162" s="3" t="s">
        <v>19</v>
      </c>
      <c r="E162" s="3">
        <v>4</v>
      </c>
      <c r="F162" s="3" t="s">
        <v>18</v>
      </c>
      <c r="G162" s="3">
        <v>31.75</v>
      </c>
      <c r="H162" s="3">
        <v>127.01</v>
      </c>
      <c r="I162" s="3" t="s">
        <v>58</v>
      </c>
      <c r="J162" s="3" t="s">
        <v>59</v>
      </c>
      <c r="K162" s="3" t="s">
        <v>60</v>
      </c>
    </row>
    <row r="163" spans="1:11" ht="15.6" x14ac:dyDescent="0.3">
      <c r="A163" s="5"/>
      <c r="B163" s="1">
        <v>1401</v>
      </c>
      <c r="C163" s="2">
        <v>45322</v>
      </c>
      <c r="D163" s="1" t="s">
        <v>28</v>
      </c>
      <c r="E163" s="1">
        <v>2</v>
      </c>
      <c r="F163" s="1" t="s">
        <v>18</v>
      </c>
      <c r="G163" s="1">
        <v>47.11</v>
      </c>
      <c r="H163" s="1">
        <v>94.21</v>
      </c>
      <c r="I163" s="1" t="s">
        <v>58</v>
      </c>
      <c r="J163" s="1" t="s">
        <v>59</v>
      </c>
      <c r="K163" s="1" t="s">
        <v>60</v>
      </c>
    </row>
    <row r="164" spans="1:11" ht="15.6" x14ac:dyDescent="0.3">
      <c r="A164" s="5"/>
      <c r="B164" s="3">
        <v>1388</v>
      </c>
      <c r="C164" s="4">
        <v>45323</v>
      </c>
      <c r="D164" s="3" t="s">
        <v>16</v>
      </c>
      <c r="E164" s="3">
        <v>1</v>
      </c>
      <c r="F164" s="3" t="s">
        <v>21</v>
      </c>
      <c r="G164" s="3">
        <v>25.23</v>
      </c>
      <c r="H164" s="3">
        <v>25.23</v>
      </c>
      <c r="I164" s="3" t="s">
        <v>61</v>
      </c>
      <c r="J164" s="3" t="s">
        <v>62</v>
      </c>
      <c r="K164" s="3" t="s">
        <v>63</v>
      </c>
    </row>
    <row r="165" spans="1:11" ht="15.6" x14ac:dyDescent="0.3">
      <c r="A165" s="5"/>
      <c r="B165" s="1">
        <v>1351</v>
      </c>
      <c r="C165" s="2">
        <v>45323</v>
      </c>
      <c r="D165" s="1" t="s">
        <v>23</v>
      </c>
      <c r="E165" s="1">
        <v>8</v>
      </c>
      <c r="F165" s="1" t="s">
        <v>15</v>
      </c>
      <c r="G165" s="1">
        <v>14.19</v>
      </c>
      <c r="H165" s="1">
        <v>113.55</v>
      </c>
      <c r="I165" s="1" t="s">
        <v>61</v>
      </c>
      <c r="J165" s="1" t="s">
        <v>62</v>
      </c>
      <c r="K165" s="1" t="s">
        <v>63</v>
      </c>
    </row>
    <row r="166" spans="1:11" ht="15.6" x14ac:dyDescent="0.3">
      <c r="A166" s="5"/>
      <c r="B166" s="3">
        <v>1200</v>
      </c>
      <c r="C166" s="4">
        <v>45324</v>
      </c>
      <c r="D166" s="3" t="s">
        <v>23</v>
      </c>
      <c r="E166" s="3">
        <v>5</v>
      </c>
      <c r="F166" s="3" t="s">
        <v>21</v>
      </c>
      <c r="G166" s="3">
        <v>13.99</v>
      </c>
      <c r="H166" s="3">
        <v>69.95</v>
      </c>
      <c r="I166" s="3" t="s">
        <v>61</v>
      </c>
      <c r="J166" s="3" t="s">
        <v>62</v>
      </c>
      <c r="K166" s="3" t="s">
        <v>63</v>
      </c>
    </row>
    <row r="167" spans="1:11" ht="15.6" x14ac:dyDescent="0.3">
      <c r="A167" s="5"/>
      <c r="B167" s="1">
        <v>1407</v>
      </c>
      <c r="C167" s="2">
        <v>45324</v>
      </c>
      <c r="D167" s="1" t="s">
        <v>22</v>
      </c>
      <c r="E167" s="1">
        <v>3</v>
      </c>
      <c r="F167" s="1" t="s">
        <v>15</v>
      </c>
      <c r="G167" s="1">
        <v>11.78</v>
      </c>
      <c r="H167" s="1">
        <v>35.35</v>
      </c>
      <c r="I167" s="1" t="s">
        <v>61</v>
      </c>
      <c r="J167" s="1" t="s">
        <v>62</v>
      </c>
      <c r="K167" s="1" t="s">
        <v>63</v>
      </c>
    </row>
    <row r="168" spans="1:11" ht="15.6" x14ac:dyDescent="0.3">
      <c r="A168" s="5"/>
      <c r="B168" s="3">
        <v>1097</v>
      </c>
      <c r="C168" s="4">
        <v>45324</v>
      </c>
      <c r="D168" s="3" t="s">
        <v>9</v>
      </c>
      <c r="E168" s="3">
        <v>3</v>
      </c>
      <c r="F168" s="3" t="s">
        <v>21</v>
      </c>
      <c r="G168" s="3">
        <v>62.89</v>
      </c>
      <c r="H168" s="3">
        <v>188.66</v>
      </c>
      <c r="I168" s="3" t="s">
        <v>61</v>
      </c>
      <c r="J168" s="3" t="s">
        <v>62</v>
      </c>
      <c r="K168" s="3" t="s">
        <v>63</v>
      </c>
    </row>
    <row r="169" spans="1:11" ht="15.6" x14ac:dyDescent="0.3">
      <c r="A169" s="5"/>
      <c r="B169" s="1">
        <v>1264</v>
      </c>
      <c r="C169" s="2">
        <v>45326</v>
      </c>
      <c r="D169" s="1" t="s">
        <v>19</v>
      </c>
      <c r="E169" s="1">
        <v>2</v>
      </c>
      <c r="F169" s="1" t="s">
        <v>21</v>
      </c>
      <c r="G169" s="1">
        <v>34.31</v>
      </c>
      <c r="H169" s="1">
        <v>68.62</v>
      </c>
      <c r="I169" s="1" t="s">
        <v>61</v>
      </c>
      <c r="J169" s="1" t="s">
        <v>62</v>
      </c>
      <c r="K169" s="1" t="s">
        <v>63</v>
      </c>
    </row>
    <row r="170" spans="1:11" ht="15.6" x14ac:dyDescent="0.3">
      <c r="A170" s="5"/>
      <c r="B170" s="3">
        <v>1143</v>
      </c>
      <c r="C170" s="4">
        <v>45327</v>
      </c>
      <c r="D170" s="3" t="s">
        <v>20</v>
      </c>
      <c r="E170" s="3">
        <v>5</v>
      </c>
      <c r="F170" s="3" t="s">
        <v>18</v>
      </c>
      <c r="G170" s="3">
        <v>7.92</v>
      </c>
      <c r="H170" s="3">
        <v>39.590000000000003</v>
      </c>
      <c r="I170" s="3" t="s">
        <v>61</v>
      </c>
      <c r="J170" s="3" t="s">
        <v>62</v>
      </c>
      <c r="K170" s="3" t="s">
        <v>63</v>
      </c>
    </row>
    <row r="171" spans="1:11" ht="15.6" x14ac:dyDescent="0.3">
      <c r="A171" s="5"/>
      <c r="B171" s="1">
        <v>1202</v>
      </c>
      <c r="C171" s="2">
        <v>45327</v>
      </c>
      <c r="D171" s="1" t="s">
        <v>14</v>
      </c>
      <c r="E171" s="1">
        <v>2</v>
      </c>
      <c r="F171" s="1" t="s">
        <v>18</v>
      </c>
      <c r="G171" s="1">
        <v>20.350000000000001</v>
      </c>
      <c r="H171" s="1">
        <v>40.700000000000003</v>
      </c>
      <c r="I171" s="1" t="s">
        <v>61</v>
      </c>
      <c r="J171" s="1" t="s">
        <v>62</v>
      </c>
      <c r="K171" s="1" t="s">
        <v>63</v>
      </c>
    </row>
    <row r="172" spans="1:11" ht="15.6" x14ac:dyDescent="0.3">
      <c r="A172" s="5"/>
      <c r="B172" s="3">
        <v>1050</v>
      </c>
      <c r="C172" s="4">
        <v>45328</v>
      </c>
      <c r="D172" s="3" t="s">
        <v>20</v>
      </c>
      <c r="E172" s="3">
        <v>3</v>
      </c>
      <c r="F172" s="3" t="s">
        <v>15</v>
      </c>
      <c r="G172" s="3">
        <v>8.48</v>
      </c>
      <c r="H172" s="3">
        <v>25.45</v>
      </c>
      <c r="I172" s="3" t="s">
        <v>61</v>
      </c>
      <c r="J172" s="3" t="s">
        <v>62</v>
      </c>
      <c r="K172" s="3" t="s">
        <v>63</v>
      </c>
    </row>
    <row r="173" spans="1:11" ht="15.6" x14ac:dyDescent="0.3">
      <c r="A173" s="5"/>
      <c r="B173" s="1">
        <v>1158</v>
      </c>
      <c r="C173" s="2">
        <v>45329</v>
      </c>
      <c r="D173" s="1" t="s">
        <v>9</v>
      </c>
      <c r="E173" s="1">
        <v>5</v>
      </c>
      <c r="F173" s="1" t="s">
        <v>15</v>
      </c>
      <c r="G173" s="1">
        <v>64.47</v>
      </c>
      <c r="H173" s="1">
        <v>322.33999999999997</v>
      </c>
      <c r="I173" s="1" t="s">
        <v>61</v>
      </c>
      <c r="J173" s="1" t="s">
        <v>62</v>
      </c>
      <c r="K173" s="1" t="s">
        <v>63</v>
      </c>
    </row>
    <row r="174" spans="1:11" ht="15.6" x14ac:dyDescent="0.3">
      <c r="A174" s="5"/>
      <c r="B174" s="3">
        <v>1183</v>
      </c>
      <c r="C174" s="4">
        <v>45330</v>
      </c>
      <c r="D174" s="3" t="s">
        <v>19</v>
      </c>
      <c r="E174" s="3">
        <v>4</v>
      </c>
      <c r="F174" s="3" t="s">
        <v>15</v>
      </c>
      <c r="G174" s="3">
        <v>34.83</v>
      </c>
      <c r="H174" s="3">
        <v>139.33000000000001</v>
      </c>
      <c r="I174" s="3" t="s">
        <v>61</v>
      </c>
      <c r="J174" s="3" t="s">
        <v>62</v>
      </c>
      <c r="K174" s="3" t="s">
        <v>63</v>
      </c>
    </row>
    <row r="175" spans="1:11" ht="15.6" x14ac:dyDescent="0.3">
      <c r="A175" s="5"/>
      <c r="B175" s="1">
        <v>1086</v>
      </c>
      <c r="C175" s="2">
        <v>45333</v>
      </c>
      <c r="D175" s="1" t="s">
        <v>9</v>
      </c>
      <c r="E175" s="1">
        <v>1</v>
      </c>
      <c r="F175" s="1" t="s">
        <v>10</v>
      </c>
      <c r="G175" s="1">
        <v>64</v>
      </c>
      <c r="H175" s="1">
        <v>64</v>
      </c>
      <c r="I175" s="1" t="s">
        <v>61</v>
      </c>
      <c r="J175" s="1" t="s">
        <v>62</v>
      </c>
      <c r="K175" s="1" t="s">
        <v>63</v>
      </c>
    </row>
    <row r="176" spans="1:11" ht="15.6" x14ac:dyDescent="0.3">
      <c r="A176" s="5"/>
      <c r="B176" s="3">
        <v>1255</v>
      </c>
      <c r="C176" s="4">
        <v>45334</v>
      </c>
      <c r="D176" s="3" t="s">
        <v>28</v>
      </c>
      <c r="E176" s="3">
        <v>5</v>
      </c>
      <c r="F176" s="3" t="s">
        <v>21</v>
      </c>
      <c r="G176" s="3">
        <v>42.88</v>
      </c>
      <c r="H176" s="3">
        <v>214.42</v>
      </c>
      <c r="I176" s="3" t="s">
        <v>61</v>
      </c>
      <c r="J176" s="3" t="s">
        <v>62</v>
      </c>
      <c r="K176" s="3" t="s">
        <v>63</v>
      </c>
    </row>
    <row r="177" spans="1:11" ht="15.6" x14ac:dyDescent="0.3">
      <c r="A177" s="5"/>
      <c r="B177" s="1">
        <v>1367</v>
      </c>
      <c r="C177" s="2">
        <v>45339</v>
      </c>
      <c r="D177" s="1" t="s">
        <v>22</v>
      </c>
      <c r="E177" s="1">
        <v>2</v>
      </c>
      <c r="F177" s="1" t="s">
        <v>18</v>
      </c>
      <c r="G177" s="1">
        <v>11.53</v>
      </c>
      <c r="H177" s="1">
        <v>23.07</v>
      </c>
      <c r="I177" s="1" t="s">
        <v>61</v>
      </c>
      <c r="J177" s="1" t="s">
        <v>62</v>
      </c>
      <c r="K177" s="1" t="s">
        <v>63</v>
      </c>
    </row>
    <row r="178" spans="1:11" ht="15.6" x14ac:dyDescent="0.3">
      <c r="A178" s="5"/>
      <c r="B178" s="3">
        <v>1363</v>
      </c>
      <c r="C178" s="4">
        <v>45344</v>
      </c>
      <c r="D178" s="3" t="s">
        <v>24</v>
      </c>
      <c r="E178" s="3">
        <v>2</v>
      </c>
      <c r="F178" s="3" t="s">
        <v>21</v>
      </c>
      <c r="G178" s="3">
        <v>56.15</v>
      </c>
      <c r="H178" s="3">
        <v>112.3</v>
      </c>
      <c r="I178" s="3" t="s">
        <v>61</v>
      </c>
      <c r="J178" s="3" t="s">
        <v>62</v>
      </c>
      <c r="K178" s="3" t="s">
        <v>63</v>
      </c>
    </row>
    <row r="179" spans="1:11" ht="15.6" x14ac:dyDescent="0.3">
      <c r="A179" s="5"/>
      <c r="B179" s="1">
        <v>1075</v>
      </c>
      <c r="C179" s="2">
        <v>45345</v>
      </c>
      <c r="D179" s="1" t="s">
        <v>24</v>
      </c>
      <c r="E179" s="1">
        <v>6</v>
      </c>
      <c r="F179" s="1" t="s">
        <v>10</v>
      </c>
      <c r="G179" s="1">
        <v>56.71</v>
      </c>
      <c r="H179" s="1">
        <v>340.28</v>
      </c>
      <c r="I179" s="1" t="s">
        <v>61</v>
      </c>
      <c r="J179" s="1" t="s">
        <v>62</v>
      </c>
      <c r="K179" s="1" t="s">
        <v>63</v>
      </c>
    </row>
    <row r="180" spans="1:11" ht="15.6" x14ac:dyDescent="0.3">
      <c r="A180" s="5"/>
      <c r="B180" s="3">
        <v>1327</v>
      </c>
      <c r="C180" s="4">
        <v>45358</v>
      </c>
      <c r="D180" s="3" t="s">
        <v>20</v>
      </c>
      <c r="E180" s="3">
        <v>3</v>
      </c>
      <c r="F180" s="3" t="s">
        <v>10</v>
      </c>
      <c r="G180" s="3">
        <v>7.39</v>
      </c>
      <c r="H180" s="3">
        <v>22.17</v>
      </c>
      <c r="I180" s="3" t="s">
        <v>64</v>
      </c>
      <c r="J180" s="3" t="s">
        <v>65</v>
      </c>
      <c r="K180" s="3" t="s">
        <v>66</v>
      </c>
    </row>
    <row r="181" spans="1:11" ht="15.6" x14ac:dyDescent="0.3">
      <c r="A181" s="5"/>
      <c r="B181" s="1">
        <v>1212</v>
      </c>
      <c r="C181" s="2">
        <v>45364</v>
      </c>
      <c r="D181" s="1" t="s">
        <v>16</v>
      </c>
      <c r="E181" s="1">
        <v>6</v>
      </c>
      <c r="F181" s="1" t="s">
        <v>10</v>
      </c>
      <c r="G181" s="1">
        <v>25.72</v>
      </c>
      <c r="H181" s="1">
        <v>154.34</v>
      </c>
      <c r="I181" s="1" t="s">
        <v>64</v>
      </c>
      <c r="J181" s="1" t="s">
        <v>65</v>
      </c>
      <c r="K181" s="1" t="s">
        <v>66</v>
      </c>
    </row>
    <row r="182" spans="1:11" ht="15.6" x14ac:dyDescent="0.3">
      <c r="A182" s="5"/>
      <c r="B182" s="3">
        <v>1335</v>
      </c>
      <c r="C182" s="4">
        <v>45368</v>
      </c>
      <c r="D182" s="3" t="s">
        <v>20</v>
      </c>
      <c r="E182" s="3">
        <v>4</v>
      </c>
      <c r="F182" s="3" t="s">
        <v>10</v>
      </c>
      <c r="G182" s="3">
        <v>8.08</v>
      </c>
      <c r="H182" s="3">
        <v>32.33</v>
      </c>
      <c r="I182" s="3" t="s">
        <v>64</v>
      </c>
      <c r="J182" s="3" t="s">
        <v>65</v>
      </c>
      <c r="K182" s="3" t="s">
        <v>66</v>
      </c>
    </row>
    <row r="183" spans="1:11" ht="15.6" x14ac:dyDescent="0.3">
      <c r="A183" s="5"/>
      <c r="B183" s="1">
        <v>1128</v>
      </c>
      <c r="C183" s="2">
        <v>45368</v>
      </c>
      <c r="D183" s="1" t="s">
        <v>28</v>
      </c>
      <c r="E183" s="1">
        <v>6</v>
      </c>
      <c r="F183" s="1" t="s">
        <v>10</v>
      </c>
      <c r="G183" s="1">
        <v>50.66</v>
      </c>
      <c r="H183" s="1">
        <v>303.95999999999998</v>
      </c>
      <c r="I183" s="1" t="s">
        <v>64</v>
      </c>
      <c r="J183" s="1" t="s">
        <v>65</v>
      </c>
      <c r="K183" s="1" t="s">
        <v>66</v>
      </c>
    </row>
    <row r="184" spans="1:11" ht="15.6" x14ac:dyDescent="0.3">
      <c r="A184" s="5"/>
      <c r="B184" s="3">
        <v>1280</v>
      </c>
      <c r="C184" s="4">
        <v>45370</v>
      </c>
      <c r="D184" s="3" t="s">
        <v>9</v>
      </c>
      <c r="E184" s="3">
        <v>3</v>
      </c>
      <c r="F184" s="3" t="s">
        <v>21</v>
      </c>
      <c r="G184" s="3">
        <v>68.42</v>
      </c>
      <c r="H184" s="3">
        <v>205.27</v>
      </c>
      <c r="I184" s="3" t="s">
        <v>64</v>
      </c>
      <c r="J184" s="3" t="s">
        <v>65</v>
      </c>
      <c r="K184" s="3" t="s">
        <v>66</v>
      </c>
    </row>
    <row r="185" spans="1:11" ht="15.6" x14ac:dyDescent="0.3">
      <c r="A185" s="5"/>
      <c r="B185" s="1">
        <v>1392</v>
      </c>
      <c r="C185" s="2">
        <v>45371</v>
      </c>
      <c r="D185" s="1" t="s">
        <v>19</v>
      </c>
      <c r="E185" s="1">
        <v>4</v>
      </c>
      <c r="F185" s="1" t="s">
        <v>10</v>
      </c>
      <c r="G185" s="1">
        <v>34.17</v>
      </c>
      <c r="H185" s="1">
        <v>136.69</v>
      </c>
      <c r="I185" s="1" t="s">
        <v>64</v>
      </c>
      <c r="J185" s="1" t="s">
        <v>65</v>
      </c>
      <c r="K185" s="1" t="s">
        <v>66</v>
      </c>
    </row>
    <row r="186" spans="1:11" ht="15.6" x14ac:dyDescent="0.3">
      <c r="A186" s="5"/>
      <c r="B186" s="3">
        <v>1427</v>
      </c>
      <c r="C186" s="4">
        <v>45371</v>
      </c>
      <c r="D186" s="3" t="s">
        <v>16</v>
      </c>
      <c r="E186" s="3">
        <v>5</v>
      </c>
      <c r="F186" s="3" t="s">
        <v>18</v>
      </c>
      <c r="G186" s="3">
        <v>25.08</v>
      </c>
      <c r="H186" s="3">
        <v>125.38</v>
      </c>
      <c r="I186" s="3" t="s">
        <v>64</v>
      </c>
      <c r="J186" s="3" t="s">
        <v>65</v>
      </c>
      <c r="K186" s="3" t="s">
        <v>66</v>
      </c>
    </row>
    <row r="187" spans="1:11" ht="15.6" x14ac:dyDescent="0.3">
      <c r="A187" s="5"/>
      <c r="B187" s="1">
        <v>1490</v>
      </c>
      <c r="C187" s="2">
        <v>45376</v>
      </c>
      <c r="D187" s="1" t="s">
        <v>24</v>
      </c>
      <c r="E187" s="1">
        <v>2</v>
      </c>
      <c r="F187" s="1" t="s">
        <v>21</v>
      </c>
      <c r="G187" s="1">
        <v>60.93</v>
      </c>
      <c r="H187" s="1">
        <v>121.85</v>
      </c>
      <c r="I187" s="1" t="s">
        <v>64</v>
      </c>
      <c r="J187" s="1" t="s">
        <v>65</v>
      </c>
      <c r="K187" s="1" t="s">
        <v>66</v>
      </c>
    </row>
    <row r="188" spans="1:11" ht="15.6" x14ac:dyDescent="0.3">
      <c r="A188" s="5"/>
      <c r="B188" s="3">
        <v>1178</v>
      </c>
      <c r="C188" s="4">
        <v>45379</v>
      </c>
      <c r="D188" s="3" t="s">
        <v>9</v>
      </c>
      <c r="E188" s="3">
        <v>4</v>
      </c>
      <c r="F188" s="3" t="s">
        <v>10</v>
      </c>
      <c r="G188" s="3">
        <v>75.209999999999994</v>
      </c>
      <c r="H188" s="3">
        <v>300.85000000000002</v>
      </c>
      <c r="I188" s="3" t="s">
        <v>64</v>
      </c>
      <c r="J188" s="3" t="s">
        <v>65</v>
      </c>
      <c r="K188" s="3" t="s">
        <v>66</v>
      </c>
    </row>
    <row r="189" spans="1:11" ht="15.6" x14ac:dyDescent="0.3">
      <c r="A189" s="5"/>
      <c r="B189" s="1">
        <v>1323</v>
      </c>
      <c r="C189" s="2">
        <v>45379</v>
      </c>
      <c r="D189" s="1" t="s">
        <v>19</v>
      </c>
      <c r="E189" s="1">
        <v>3</v>
      </c>
      <c r="F189" s="1" t="s">
        <v>15</v>
      </c>
      <c r="G189" s="1">
        <v>35.92</v>
      </c>
      <c r="H189" s="1">
        <v>107.77</v>
      </c>
      <c r="I189" s="1" t="s">
        <v>64</v>
      </c>
      <c r="J189" s="1" t="s">
        <v>65</v>
      </c>
      <c r="K189" s="1" t="s">
        <v>66</v>
      </c>
    </row>
    <row r="190" spans="1:11" ht="15.6" x14ac:dyDescent="0.3">
      <c r="A190" s="5"/>
      <c r="B190" s="3">
        <v>1219</v>
      </c>
      <c r="C190" s="4">
        <v>45379</v>
      </c>
      <c r="D190" s="3" t="s">
        <v>28</v>
      </c>
      <c r="E190" s="3">
        <v>1</v>
      </c>
      <c r="F190" s="3" t="s">
        <v>10</v>
      </c>
      <c r="G190" s="3">
        <v>43.97</v>
      </c>
      <c r="H190" s="3">
        <v>43.97</v>
      </c>
      <c r="I190" s="3" t="s">
        <v>64</v>
      </c>
      <c r="J190" s="3" t="s">
        <v>65</v>
      </c>
      <c r="K190" s="3" t="s">
        <v>66</v>
      </c>
    </row>
    <row r="191" spans="1:11" ht="15.6" x14ac:dyDescent="0.3">
      <c r="A191" s="5"/>
      <c r="B191" s="1">
        <v>1395</v>
      </c>
      <c r="C191" s="2">
        <v>45381</v>
      </c>
      <c r="D191" s="1" t="s">
        <v>17</v>
      </c>
      <c r="E191" s="1">
        <v>2</v>
      </c>
      <c r="F191" s="1" t="s">
        <v>18</v>
      </c>
      <c r="G191" s="1">
        <v>17.579999999999998</v>
      </c>
      <c r="H191" s="1">
        <v>35.15</v>
      </c>
      <c r="I191" s="1" t="s">
        <v>64</v>
      </c>
      <c r="J191" s="1" t="s">
        <v>65</v>
      </c>
      <c r="K191" s="1" t="s">
        <v>66</v>
      </c>
    </row>
    <row r="192" spans="1:11" ht="15.6" x14ac:dyDescent="0.3">
      <c r="A192" s="5"/>
      <c r="B192" s="3">
        <v>1057</v>
      </c>
      <c r="C192" s="4">
        <v>45382</v>
      </c>
      <c r="D192" s="3" t="s">
        <v>19</v>
      </c>
      <c r="E192" s="3">
        <v>2</v>
      </c>
      <c r="F192" s="3" t="s">
        <v>21</v>
      </c>
      <c r="G192" s="3">
        <v>32.32</v>
      </c>
      <c r="H192" s="3">
        <v>64.650000000000006</v>
      </c>
      <c r="I192" s="3" t="s">
        <v>64</v>
      </c>
      <c r="J192" s="3" t="s">
        <v>65</v>
      </c>
      <c r="K192" s="3" t="s">
        <v>66</v>
      </c>
    </row>
    <row r="193" spans="1:11" ht="15.6" x14ac:dyDescent="0.3">
      <c r="A193" s="5"/>
      <c r="B193" s="1">
        <v>1437</v>
      </c>
      <c r="C193" s="2">
        <v>45382</v>
      </c>
      <c r="D193" s="1" t="s">
        <v>17</v>
      </c>
      <c r="E193" s="1">
        <v>8</v>
      </c>
      <c r="F193" s="1" t="s">
        <v>15</v>
      </c>
      <c r="G193" s="1">
        <v>19.190000000000001</v>
      </c>
      <c r="H193" s="1">
        <v>153.47999999999999</v>
      </c>
      <c r="I193" s="1" t="s">
        <v>64</v>
      </c>
      <c r="J193" s="1" t="s">
        <v>65</v>
      </c>
      <c r="K193" s="1" t="s">
        <v>66</v>
      </c>
    </row>
    <row r="194" spans="1:11" ht="15.6" x14ac:dyDescent="0.3">
      <c r="A194" s="5"/>
      <c r="B194" s="3">
        <v>1372</v>
      </c>
      <c r="C194" s="4">
        <v>45383</v>
      </c>
      <c r="D194" s="3" t="s">
        <v>22</v>
      </c>
      <c r="E194" s="3">
        <v>5</v>
      </c>
      <c r="F194" s="3" t="s">
        <v>15</v>
      </c>
      <c r="G194" s="3">
        <v>13.03</v>
      </c>
      <c r="H194" s="3">
        <v>65.16</v>
      </c>
      <c r="I194" s="3" t="s">
        <v>67</v>
      </c>
      <c r="J194" s="3" t="s">
        <v>68</v>
      </c>
      <c r="K194" s="3" t="s">
        <v>69</v>
      </c>
    </row>
    <row r="195" spans="1:11" ht="15.6" x14ac:dyDescent="0.3">
      <c r="A195" s="5"/>
      <c r="B195" s="1">
        <v>1205</v>
      </c>
      <c r="C195" s="2">
        <v>45386</v>
      </c>
      <c r="D195" s="1" t="s">
        <v>20</v>
      </c>
      <c r="E195" s="1">
        <v>1</v>
      </c>
      <c r="F195" s="1" t="s">
        <v>10</v>
      </c>
      <c r="G195" s="1">
        <v>7.88</v>
      </c>
      <c r="H195" s="1">
        <v>7.88</v>
      </c>
      <c r="I195" s="1" t="s">
        <v>67</v>
      </c>
      <c r="J195" s="1" t="s">
        <v>68</v>
      </c>
      <c r="K195" s="1" t="s">
        <v>69</v>
      </c>
    </row>
    <row r="196" spans="1:11" ht="15.6" x14ac:dyDescent="0.3">
      <c r="A196" s="5"/>
      <c r="B196" s="3">
        <v>1013</v>
      </c>
      <c r="C196" s="4">
        <v>45386</v>
      </c>
      <c r="D196" s="3" t="s">
        <v>28</v>
      </c>
      <c r="E196" s="3">
        <v>6</v>
      </c>
      <c r="F196" s="3" t="s">
        <v>21</v>
      </c>
      <c r="G196" s="3">
        <v>42.95</v>
      </c>
      <c r="H196" s="3">
        <v>257.69</v>
      </c>
      <c r="I196" s="3" t="s">
        <v>67</v>
      </c>
      <c r="J196" s="3" t="s">
        <v>68</v>
      </c>
      <c r="K196" s="3" t="s">
        <v>69</v>
      </c>
    </row>
    <row r="197" spans="1:11" ht="15.6" x14ac:dyDescent="0.3">
      <c r="A197" s="5"/>
      <c r="B197" s="1">
        <v>1481</v>
      </c>
      <c r="C197" s="2">
        <v>45387</v>
      </c>
      <c r="D197" s="1" t="s">
        <v>17</v>
      </c>
      <c r="E197" s="1">
        <v>5</v>
      </c>
      <c r="F197" s="1" t="s">
        <v>10</v>
      </c>
      <c r="G197" s="1">
        <v>18.190000000000001</v>
      </c>
      <c r="H197" s="1">
        <v>90.95</v>
      </c>
      <c r="I197" s="1" t="s">
        <v>67</v>
      </c>
      <c r="J197" s="1" t="s">
        <v>68</v>
      </c>
      <c r="K197" s="1" t="s">
        <v>69</v>
      </c>
    </row>
    <row r="198" spans="1:11" ht="15.6" x14ac:dyDescent="0.3">
      <c r="A198" s="5"/>
      <c r="B198" s="3">
        <v>1154</v>
      </c>
      <c r="C198" s="4">
        <v>45390</v>
      </c>
      <c r="D198" s="3" t="s">
        <v>23</v>
      </c>
      <c r="E198" s="3">
        <v>2</v>
      </c>
      <c r="F198" s="3" t="s">
        <v>10</v>
      </c>
      <c r="G198" s="3">
        <v>14.85</v>
      </c>
      <c r="H198" s="3">
        <v>29.7</v>
      </c>
      <c r="I198" s="3" t="s">
        <v>67</v>
      </c>
      <c r="J198" s="3" t="s">
        <v>68</v>
      </c>
      <c r="K198" s="3" t="s">
        <v>69</v>
      </c>
    </row>
    <row r="199" spans="1:11" ht="15.6" x14ac:dyDescent="0.3">
      <c r="A199" s="5"/>
      <c r="B199" s="1">
        <v>1002</v>
      </c>
      <c r="C199" s="2">
        <v>45393</v>
      </c>
      <c r="D199" s="1" t="s">
        <v>24</v>
      </c>
      <c r="E199" s="1">
        <v>3</v>
      </c>
      <c r="F199" s="1" t="s">
        <v>18</v>
      </c>
      <c r="G199" s="1">
        <v>55.92</v>
      </c>
      <c r="H199" s="1">
        <v>167.75</v>
      </c>
      <c r="I199" s="1" t="s">
        <v>67</v>
      </c>
      <c r="J199" s="1" t="s">
        <v>68</v>
      </c>
      <c r="K199" s="1" t="s">
        <v>69</v>
      </c>
    </row>
    <row r="200" spans="1:11" ht="15.6" x14ac:dyDescent="0.3">
      <c r="A200" s="5"/>
      <c r="B200" s="3">
        <v>1207</v>
      </c>
      <c r="C200" s="4">
        <v>45396</v>
      </c>
      <c r="D200" s="3" t="s">
        <v>22</v>
      </c>
      <c r="E200" s="3">
        <v>3</v>
      </c>
      <c r="F200" s="3" t="s">
        <v>10</v>
      </c>
      <c r="G200" s="3">
        <v>12.46</v>
      </c>
      <c r="H200" s="3">
        <v>37.380000000000003</v>
      </c>
      <c r="I200" s="3" t="s">
        <v>67</v>
      </c>
      <c r="J200" s="3" t="s">
        <v>68</v>
      </c>
      <c r="K200" s="3" t="s">
        <v>69</v>
      </c>
    </row>
    <row r="201" spans="1:11" ht="15.6" x14ac:dyDescent="0.3">
      <c r="A201" s="5"/>
      <c r="B201" s="1">
        <v>1460</v>
      </c>
      <c r="C201" s="2">
        <v>45397</v>
      </c>
      <c r="D201" s="1" t="s">
        <v>24</v>
      </c>
      <c r="E201" s="1">
        <v>4</v>
      </c>
      <c r="F201" s="1" t="s">
        <v>15</v>
      </c>
      <c r="G201" s="1">
        <v>55.7</v>
      </c>
      <c r="H201" s="1">
        <v>222.79</v>
      </c>
      <c r="I201" s="1" t="s">
        <v>67</v>
      </c>
      <c r="J201" s="1" t="s">
        <v>68</v>
      </c>
      <c r="K201" s="1" t="s">
        <v>69</v>
      </c>
    </row>
    <row r="202" spans="1:11" ht="15.6" x14ac:dyDescent="0.3">
      <c r="A202" s="5"/>
      <c r="B202" s="3">
        <v>1267</v>
      </c>
      <c r="C202" s="4">
        <v>45397</v>
      </c>
      <c r="D202" s="3" t="s">
        <v>9</v>
      </c>
      <c r="E202" s="3">
        <v>2</v>
      </c>
      <c r="F202" s="3" t="s">
        <v>15</v>
      </c>
      <c r="G202" s="3">
        <v>63.9</v>
      </c>
      <c r="H202" s="3">
        <v>127.8</v>
      </c>
      <c r="I202" s="3" t="s">
        <v>67</v>
      </c>
      <c r="J202" s="3" t="s">
        <v>68</v>
      </c>
      <c r="K202" s="3" t="s">
        <v>69</v>
      </c>
    </row>
    <row r="203" spans="1:11" ht="15.6" x14ac:dyDescent="0.3">
      <c r="A203" s="5"/>
      <c r="B203" s="1">
        <v>1167</v>
      </c>
      <c r="C203" s="2">
        <v>45399</v>
      </c>
      <c r="D203" s="1" t="s">
        <v>9</v>
      </c>
      <c r="E203" s="1">
        <v>3</v>
      </c>
      <c r="F203" s="1" t="s">
        <v>21</v>
      </c>
      <c r="G203" s="1">
        <v>65.95</v>
      </c>
      <c r="H203" s="1">
        <v>197.86</v>
      </c>
      <c r="I203" s="1" t="s">
        <v>67</v>
      </c>
      <c r="J203" s="1" t="s">
        <v>68</v>
      </c>
      <c r="K203" s="1" t="s">
        <v>69</v>
      </c>
    </row>
    <row r="204" spans="1:11" ht="15.6" x14ac:dyDescent="0.3">
      <c r="A204" s="5"/>
      <c r="B204" s="3">
        <v>1326</v>
      </c>
      <c r="C204" s="4">
        <v>45400</v>
      </c>
      <c r="D204" s="3" t="s">
        <v>16</v>
      </c>
      <c r="E204" s="3">
        <v>5</v>
      </c>
      <c r="F204" s="3" t="s">
        <v>18</v>
      </c>
      <c r="G204" s="3">
        <v>24.92</v>
      </c>
      <c r="H204" s="3">
        <v>124.6</v>
      </c>
      <c r="I204" s="3" t="s">
        <v>67</v>
      </c>
      <c r="J204" s="3" t="s">
        <v>68</v>
      </c>
      <c r="K204" s="3" t="s">
        <v>69</v>
      </c>
    </row>
    <row r="205" spans="1:11" ht="15.6" x14ac:dyDescent="0.3">
      <c r="A205" s="5"/>
      <c r="B205" s="1">
        <v>1018</v>
      </c>
      <c r="C205" s="2">
        <v>45401</v>
      </c>
      <c r="D205" s="1" t="s">
        <v>16</v>
      </c>
      <c r="E205" s="1">
        <v>1</v>
      </c>
      <c r="F205" s="1" t="s">
        <v>15</v>
      </c>
      <c r="G205" s="1">
        <v>25.22</v>
      </c>
      <c r="H205" s="1">
        <v>25.22</v>
      </c>
      <c r="I205" s="1" t="s">
        <v>67</v>
      </c>
      <c r="J205" s="1" t="s">
        <v>68</v>
      </c>
      <c r="K205" s="1" t="s">
        <v>69</v>
      </c>
    </row>
    <row r="206" spans="1:11" ht="15.6" x14ac:dyDescent="0.3">
      <c r="A206" s="5"/>
      <c r="B206" s="3">
        <v>1436</v>
      </c>
      <c r="C206" s="4">
        <v>45402</v>
      </c>
      <c r="D206" s="3" t="s">
        <v>28</v>
      </c>
      <c r="E206" s="3">
        <v>1</v>
      </c>
      <c r="F206" s="3" t="s">
        <v>10</v>
      </c>
      <c r="G206" s="3">
        <v>43.15</v>
      </c>
      <c r="H206" s="3">
        <v>43.15</v>
      </c>
      <c r="I206" s="3" t="s">
        <v>67</v>
      </c>
      <c r="J206" s="3" t="s">
        <v>68</v>
      </c>
      <c r="K206" s="3" t="s">
        <v>69</v>
      </c>
    </row>
    <row r="207" spans="1:11" ht="15.6" x14ac:dyDescent="0.3">
      <c r="A207" s="5"/>
      <c r="B207" s="1">
        <v>1226</v>
      </c>
      <c r="C207" s="2">
        <v>45403</v>
      </c>
      <c r="D207" s="1" t="s">
        <v>28</v>
      </c>
      <c r="E207" s="1">
        <v>2</v>
      </c>
      <c r="F207" s="1" t="s">
        <v>10</v>
      </c>
      <c r="G207" s="1">
        <v>47.14</v>
      </c>
      <c r="H207" s="1">
        <v>94.28</v>
      </c>
      <c r="I207" s="1" t="s">
        <v>67</v>
      </c>
      <c r="J207" s="1" t="s">
        <v>68</v>
      </c>
      <c r="K207" s="1" t="s">
        <v>69</v>
      </c>
    </row>
    <row r="208" spans="1:11" ht="15.6" x14ac:dyDescent="0.3">
      <c r="A208" s="5"/>
      <c r="B208" s="3">
        <v>1108</v>
      </c>
      <c r="C208" s="4">
        <v>45411</v>
      </c>
      <c r="D208" s="3" t="s">
        <v>17</v>
      </c>
      <c r="E208" s="3">
        <v>2</v>
      </c>
      <c r="F208" s="3" t="s">
        <v>10</v>
      </c>
      <c r="G208" s="3">
        <v>18.46</v>
      </c>
      <c r="H208" s="3">
        <v>36.909999999999997</v>
      </c>
      <c r="I208" s="3" t="s">
        <v>67</v>
      </c>
      <c r="J208" s="3" t="s">
        <v>68</v>
      </c>
      <c r="K208" s="3" t="s">
        <v>69</v>
      </c>
    </row>
    <row r="209" spans="1:11" ht="15.6" x14ac:dyDescent="0.3">
      <c r="A209" s="5"/>
      <c r="B209" s="1">
        <v>1309</v>
      </c>
      <c r="C209" s="2">
        <v>45414</v>
      </c>
      <c r="D209" s="1" t="s">
        <v>14</v>
      </c>
      <c r="E209" s="1">
        <v>4</v>
      </c>
      <c r="F209" s="1" t="s">
        <v>21</v>
      </c>
      <c r="G209" s="1">
        <v>22.46</v>
      </c>
      <c r="H209" s="1">
        <v>89.85</v>
      </c>
      <c r="I209" s="1" t="s">
        <v>70</v>
      </c>
      <c r="J209" s="1" t="s">
        <v>71</v>
      </c>
      <c r="K209" s="1" t="s">
        <v>71</v>
      </c>
    </row>
    <row r="210" spans="1:11" ht="15.6" x14ac:dyDescent="0.3">
      <c r="A210" s="5"/>
      <c r="B210" s="3">
        <v>1161</v>
      </c>
      <c r="C210" s="4">
        <v>45415</v>
      </c>
      <c r="D210" s="3" t="s">
        <v>19</v>
      </c>
      <c r="E210" s="3">
        <v>2</v>
      </c>
      <c r="F210" s="3" t="s">
        <v>21</v>
      </c>
      <c r="G210" s="3">
        <v>36.909999999999997</v>
      </c>
      <c r="H210" s="3">
        <v>73.81</v>
      </c>
      <c r="I210" s="3" t="s">
        <v>70</v>
      </c>
      <c r="J210" s="3" t="s">
        <v>71</v>
      </c>
      <c r="K210" s="3" t="s">
        <v>71</v>
      </c>
    </row>
    <row r="211" spans="1:11" ht="15.6" x14ac:dyDescent="0.3">
      <c r="A211" s="5"/>
      <c r="B211" s="1">
        <v>1249</v>
      </c>
      <c r="C211" s="2">
        <v>45416</v>
      </c>
      <c r="D211" s="1" t="s">
        <v>17</v>
      </c>
      <c r="E211" s="1">
        <v>3</v>
      </c>
      <c r="F211" s="1" t="s">
        <v>15</v>
      </c>
      <c r="G211" s="1">
        <v>16.079999999999998</v>
      </c>
      <c r="H211" s="1">
        <v>48.25</v>
      </c>
      <c r="I211" s="1" t="s">
        <v>70</v>
      </c>
      <c r="J211" s="1" t="s">
        <v>71</v>
      </c>
      <c r="K211" s="1" t="s">
        <v>71</v>
      </c>
    </row>
    <row r="212" spans="1:11" ht="15.6" x14ac:dyDescent="0.3">
      <c r="A212" s="5"/>
      <c r="B212" s="3">
        <v>1416</v>
      </c>
      <c r="C212" s="4">
        <v>45418</v>
      </c>
      <c r="D212" s="3" t="s">
        <v>22</v>
      </c>
      <c r="E212" s="3">
        <v>7</v>
      </c>
      <c r="F212" s="3" t="s">
        <v>10</v>
      </c>
      <c r="G212" s="3">
        <v>11.48</v>
      </c>
      <c r="H212" s="3">
        <v>80.39</v>
      </c>
      <c r="I212" s="3" t="s">
        <v>70</v>
      </c>
      <c r="J212" s="3" t="s">
        <v>71</v>
      </c>
      <c r="K212" s="3" t="s">
        <v>71</v>
      </c>
    </row>
    <row r="213" spans="1:11" ht="15.6" x14ac:dyDescent="0.3">
      <c r="A213" s="5"/>
      <c r="B213" s="1">
        <v>1068</v>
      </c>
      <c r="C213" s="2">
        <v>45419</v>
      </c>
      <c r="D213" s="1" t="s">
        <v>16</v>
      </c>
      <c r="E213" s="1">
        <v>3</v>
      </c>
      <c r="F213" s="1" t="s">
        <v>21</v>
      </c>
      <c r="G213" s="1">
        <v>26.7</v>
      </c>
      <c r="H213" s="1">
        <v>80.11</v>
      </c>
      <c r="I213" s="1" t="s">
        <v>70</v>
      </c>
      <c r="J213" s="1" t="s">
        <v>71</v>
      </c>
      <c r="K213" s="1" t="s">
        <v>71</v>
      </c>
    </row>
    <row r="214" spans="1:11" ht="15.6" x14ac:dyDescent="0.3">
      <c r="A214" s="5"/>
      <c r="B214" s="3">
        <v>1230</v>
      </c>
      <c r="C214" s="4">
        <v>45423</v>
      </c>
      <c r="D214" s="3" t="s">
        <v>28</v>
      </c>
      <c r="E214" s="3">
        <v>4</v>
      </c>
      <c r="F214" s="3" t="s">
        <v>15</v>
      </c>
      <c r="G214" s="3">
        <v>41.88</v>
      </c>
      <c r="H214" s="3">
        <v>167.51</v>
      </c>
      <c r="I214" s="3" t="s">
        <v>70</v>
      </c>
      <c r="J214" s="3" t="s">
        <v>71</v>
      </c>
      <c r="K214" s="3" t="s">
        <v>71</v>
      </c>
    </row>
    <row r="215" spans="1:11" ht="15.6" x14ac:dyDescent="0.3">
      <c r="A215" s="5"/>
      <c r="B215" s="1">
        <v>1342</v>
      </c>
      <c r="C215" s="2">
        <v>45423</v>
      </c>
      <c r="D215" s="1" t="s">
        <v>20</v>
      </c>
      <c r="E215" s="1">
        <v>2</v>
      </c>
      <c r="F215" s="1" t="s">
        <v>18</v>
      </c>
      <c r="G215" s="1">
        <v>8.3000000000000007</v>
      </c>
      <c r="H215" s="1">
        <v>16.61</v>
      </c>
      <c r="I215" s="1" t="s">
        <v>70</v>
      </c>
      <c r="J215" s="1" t="s">
        <v>71</v>
      </c>
      <c r="K215" s="1" t="s">
        <v>71</v>
      </c>
    </row>
    <row r="216" spans="1:11" ht="15.6" x14ac:dyDescent="0.3">
      <c r="A216" s="5"/>
      <c r="B216" s="3">
        <v>1353</v>
      </c>
      <c r="C216" s="4">
        <v>45425</v>
      </c>
      <c r="D216" s="3" t="s">
        <v>17</v>
      </c>
      <c r="E216" s="3">
        <v>3</v>
      </c>
      <c r="F216" s="3" t="s">
        <v>15</v>
      </c>
      <c r="G216" s="3">
        <v>16.66</v>
      </c>
      <c r="H216" s="3">
        <v>49.99</v>
      </c>
      <c r="I216" s="3" t="s">
        <v>70</v>
      </c>
      <c r="J216" s="3" t="s">
        <v>71</v>
      </c>
      <c r="K216" s="3" t="s">
        <v>71</v>
      </c>
    </row>
    <row r="217" spans="1:11" ht="15.6" x14ac:dyDescent="0.3">
      <c r="A217" s="5"/>
      <c r="B217" s="1">
        <v>1424</v>
      </c>
      <c r="C217" s="2">
        <v>45426</v>
      </c>
      <c r="D217" s="1" t="s">
        <v>14</v>
      </c>
      <c r="E217" s="1">
        <v>6</v>
      </c>
      <c r="F217" s="1" t="s">
        <v>15</v>
      </c>
      <c r="G217" s="1">
        <v>22.93</v>
      </c>
      <c r="H217" s="1">
        <v>137.6</v>
      </c>
      <c r="I217" s="1" t="s">
        <v>70</v>
      </c>
      <c r="J217" s="1" t="s">
        <v>71</v>
      </c>
      <c r="K217" s="1" t="s">
        <v>71</v>
      </c>
    </row>
    <row r="218" spans="1:11" ht="15.6" x14ac:dyDescent="0.3">
      <c r="A218" s="5"/>
      <c r="B218" s="3">
        <v>1478</v>
      </c>
      <c r="C218" s="4">
        <v>45428</v>
      </c>
      <c r="D218" s="3" t="s">
        <v>22</v>
      </c>
      <c r="E218" s="3">
        <v>3</v>
      </c>
      <c r="F218" s="3" t="s">
        <v>18</v>
      </c>
      <c r="G218" s="3">
        <v>11.93</v>
      </c>
      <c r="H218" s="3">
        <v>35.799999999999997</v>
      </c>
      <c r="I218" s="3" t="s">
        <v>70</v>
      </c>
      <c r="J218" s="3" t="s">
        <v>71</v>
      </c>
      <c r="K218" s="3" t="s">
        <v>71</v>
      </c>
    </row>
    <row r="219" spans="1:11" ht="15.6" x14ac:dyDescent="0.3">
      <c r="A219" s="5"/>
      <c r="B219" s="1">
        <v>1095</v>
      </c>
      <c r="C219" s="2">
        <v>45429</v>
      </c>
      <c r="D219" s="1" t="s">
        <v>20</v>
      </c>
      <c r="E219" s="1">
        <v>3</v>
      </c>
      <c r="F219" s="1" t="s">
        <v>18</v>
      </c>
      <c r="G219" s="1">
        <v>8.4</v>
      </c>
      <c r="H219" s="1">
        <v>25.2</v>
      </c>
      <c r="I219" s="1" t="s">
        <v>70</v>
      </c>
      <c r="J219" s="1" t="s">
        <v>71</v>
      </c>
      <c r="K219" s="1" t="s">
        <v>71</v>
      </c>
    </row>
    <row r="220" spans="1:11" ht="15.6" x14ac:dyDescent="0.3">
      <c r="A220" s="5"/>
      <c r="B220" s="3">
        <v>1085</v>
      </c>
      <c r="C220" s="4">
        <v>45429</v>
      </c>
      <c r="D220" s="3" t="s">
        <v>9</v>
      </c>
      <c r="E220" s="3">
        <v>2</v>
      </c>
      <c r="F220" s="3" t="s">
        <v>15</v>
      </c>
      <c r="G220" s="3">
        <v>72.48</v>
      </c>
      <c r="H220" s="3">
        <v>144.97</v>
      </c>
      <c r="I220" s="3" t="s">
        <v>70</v>
      </c>
      <c r="J220" s="3" t="s">
        <v>71</v>
      </c>
      <c r="K220" s="3" t="s">
        <v>71</v>
      </c>
    </row>
    <row r="221" spans="1:11" ht="15.6" x14ac:dyDescent="0.3">
      <c r="A221" s="5"/>
      <c r="B221" s="1">
        <v>1444</v>
      </c>
      <c r="C221" s="2">
        <v>45431</v>
      </c>
      <c r="D221" s="1" t="s">
        <v>24</v>
      </c>
      <c r="E221" s="1">
        <v>2</v>
      </c>
      <c r="F221" s="1" t="s">
        <v>15</v>
      </c>
      <c r="G221" s="1">
        <v>57.15</v>
      </c>
      <c r="H221" s="1">
        <v>114.31</v>
      </c>
      <c r="I221" s="1" t="s">
        <v>70</v>
      </c>
      <c r="J221" s="1" t="s">
        <v>71</v>
      </c>
      <c r="K221" s="1" t="s">
        <v>71</v>
      </c>
    </row>
    <row r="222" spans="1:11" ht="15.6" x14ac:dyDescent="0.3">
      <c r="A222" s="5"/>
      <c r="B222" s="3">
        <v>1042</v>
      </c>
      <c r="C222" s="4">
        <v>45435</v>
      </c>
      <c r="D222" s="3" t="s">
        <v>22</v>
      </c>
      <c r="E222" s="3">
        <v>5</v>
      </c>
      <c r="F222" s="3" t="s">
        <v>10</v>
      </c>
      <c r="G222" s="3">
        <v>13.02</v>
      </c>
      <c r="H222" s="3">
        <v>65.12</v>
      </c>
      <c r="I222" s="3" t="s">
        <v>70</v>
      </c>
      <c r="J222" s="3" t="s">
        <v>71</v>
      </c>
      <c r="K222" s="3" t="s">
        <v>71</v>
      </c>
    </row>
    <row r="223" spans="1:11" ht="15.6" x14ac:dyDescent="0.3">
      <c r="A223" s="5"/>
      <c r="B223" s="1">
        <v>1190</v>
      </c>
      <c r="C223" s="2">
        <v>45436</v>
      </c>
      <c r="D223" s="1" t="s">
        <v>9</v>
      </c>
      <c r="E223" s="1">
        <v>5</v>
      </c>
      <c r="F223" s="1" t="s">
        <v>18</v>
      </c>
      <c r="G223" s="1">
        <v>67.25</v>
      </c>
      <c r="H223" s="1">
        <v>336.26</v>
      </c>
      <c r="I223" s="1" t="s">
        <v>70</v>
      </c>
      <c r="J223" s="1" t="s">
        <v>71</v>
      </c>
      <c r="K223" s="1" t="s">
        <v>71</v>
      </c>
    </row>
    <row r="224" spans="1:11" ht="15.6" x14ac:dyDescent="0.3">
      <c r="A224" s="5"/>
      <c r="B224" s="3">
        <v>1425</v>
      </c>
      <c r="C224" s="4">
        <v>45437</v>
      </c>
      <c r="D224" s="3" t="s">
        <v>14</v>
      </c>
      <c r="E224" s="3">
        <v>6</v>
      </c>
      <c r="F224" s="3" t="s">
        <v>10</v>
      </c>
      <c r="G224" s="3">
        <v>23.95</v>
      </c>
      <c r="H224" s="3">
        <v>143.69999999999999</v>
      </c>
      <c r="I224" s="3" t="s">
        <v>70</v>
      </c>
      <c r="J224" s="3" t="s">
        <v>71</v>
      </c>
      <c r="K224" s="3" t="s">
        <v>71</v>
      </c>
    </row>
    <row r="225" spans="1:11" ht="15.6" x14ac:dyDescent="0.3">
      <c r="A225" s="5"/>
      <c r="B225" s="1">
        <v>1019</v>
      </c>
      <c r="C225" s="2">
        <v>45437</v>
      </c>
      <c r="D225" s="1" t="s">
        <v>14</v>
      </c>
      <c r="E225" s="1">
        <v>5</v>
      </c>
      <c r="F225" s="1" t="s">
        <v>18</v>
      </c>
      <c r="G225" s="1">
        <v>22.04</v>
      </c>
      <c r="H225" s="1">
        <v>110.2</v>
      </c>
      <c r="I225" s="1" t="s">
        <v>70</v>
      </c>
      <c r="J225" s="1" t="s">
        <v>71</v>
      </c>
      <c r="K225" s="1" t="s">
        <v>71</v>
      </c>
    </row>
    <row r="226" spans="1:11" ht="15.6" x14ac:dyDescent="0.3">
      <c r="A226" s="5"/>
      <c r="B226" s="3">
        <v>1263</v>
      </c>
      <c r="C226" s="4">
        <v>45438</v>
      </c>
      <c r="D226" s="3" t="s">
        <v>16</v>
      </c>
      <c r="E226" s="3">
        <v>1</v>
      </c>
      <c r="F226" s="3" t="s">
        <v>18</v>
      </c>
      <c r="G226" s="3">
        <v>23.91</v>
      </c>
      <c r="H226" s="3">
        <v>23.91</v>
      </c>
      <c r="I226" s="3" t="s">
        <v>70</v>
      </c>
      <c r="J226" s="3" t="s">
        <v>71</v>
      </c>
      <c r="K226" s="3" t="s">
        <v>71</v>
      </c>
    </row>
    <row r="227" spans="1:11" ht="15.6" x14ac:dyDescent="0.3">
      <c r="A227" s="5"/>
      <c r="B227" s="1">
        <v>1306</v>
      </c>
      <c r="C227" s="2">
        <v>45439</v>
      </c>
      <c r="D227" s="1" t="s">
        <v>16</v>
      </c>
      <c r="E227" s="1">
        <v>6</v>
      </c>
      <c r="F227" s="1" t="s">
        <v>10</v>
      </c>
      <c r="G227" s="1">
        <v>23.61</v>
      </c>
      <c r="H227" s="1">
        <v>141.68</v>
      </c>
      <c r="I227" s="1" t="s">
        <v>70</v>
      </c>
      <c r="J227" s="1" t="s">
        <v>71</v>
      </c>
      <c r="K227" s="1" t="s">
        <v>71</v>
      </c>
    </row>
    <row r="228" spans="1:11" ht="15.6" x14ac:dyDescent="0.3">
      <c r="A228" s="5"/>
      <c r="B228" s="3">
        <v>1338</v>
      </c>
      <c r="C228" s="4">
        <v>45442</v>
      </c>
      <c r="D228" s="3" t="s">
        <v>9</v>
      </c>
      <c r="E228" s="3">
        <v>5</v>
      </c>
      <c r="F228" s="3" t="s">
        <v>21</v>
      </c>
      <c r="G228" s="3">
        <v>63.4</v>
      </c>
      <c r="H228" s="3">
        <v>317</v>
      </c>
      <c r="I228" s="3" t="s">
        <v>70</v>
      </c>
      <c r="J228" s="3" t="s">
        <v>71</v>
      </c>
      <c r="K228" s="3" t="s">
        <v>71</v>
      </c>
    </row>
    <row r="229" spans="1:11" ht="15.6" x14ac:dyDescent="0.3">
      <c r="A229" s="5"/>
      <c r="B229" s="1">
        <v>1227</v>
      </c>
      <c r="C229" s="2">
        <v>45444</v>
      </c>
      <c r="D229" s="1" t="s">
        <v>14</v>
      </c>
      <c r="E229" s="1">
        <v>6</v>
      </c>
      <c r="F229" s="1" t="s">
        <v>10</v>
      </c>
      <c r="G229" s="1">
        <v>22.47</v>
      </c>
      <c r="H229" s="1">
        <v>134.81</v>
      </c>
      <c r="I229" s="1" t="s">
        <v>72</v>
      </c>
      <c r="J229" s="1" t="s">
        <v>73</v>
      </c>
      <c r="K229" s="1" t="s">
        <v>74</v>
      </c>
    </row>
    <row r="230" spans="1:11" ht="15.6" x14ac:dyDescent="0.3">
      <c r="A230" s="5"/>
      <c r="B230" s="3">
        <v>1071</v>
      </c>
      <c r="C230" s="4">
        <v>45447</v>
      </c>
      <c r="D230" s="3" t="s">
        <v>22</v>
      </c>
      <c r="E230" s="3">
        <v>6</v>
      </c>
      <c r="F230" s="3" t="s">
        <v>21</v>
      </c>
      <c r="G230" s="3">
        <v>12.61</v>
      </c>
      <c r="H230" s="3">
        <v>75.66</v>
      </c>
      <c r="I230" s="3" t="s">
        <v>72</v>
      </c>
      <c r="J230" s="3" t="s">
        <v>73</v>
      </c>
      <c r="K230" s="3" t="s">
        <v>74</v>
      </c>
    </row>
    <row r="231" spans="1:11" ht="15.6" x14ac:dyDescent="0.3">
      <c r="A231" s="5"/>
      <c r="B231" s="1">
        <v>1332</v>
      </c>
      <c r="C231" s="2">
        <v>45448</v>
      </c>
      <c r="D231" s="1" t="s">
        <v>9</v>
      </c>
      <c r="E231" s="1">
        <v>4</v>
      </c>
      <c r="F231" s="1" t="s">
        <v>15</v>
      </c>
      <c r="G231" s="1">
        <v>64.33</v>
      </c>
      <c r="H231" s="1">
        <v>257.3</v>
      </c>
      <c r="I231" s="1" t="s">
        <v>72</v>
      </c>
      <c r="J231" s="1" t="s">
        <v>73</v>
      </c>
      <c r="K231" s="1" t="s">
        <v>74</v>
      </c>
    </row>
    <row r="232" spans="1:11" ht="15.6" x14ac:dyDescent="0.3">
      <c r="A232" s="5"/>
      <c r="B232" s="3">
        <v>1112</v>
      </c>
      <c r="C232" s="4">
        <v>45451</v>
      </c>
      <c r="D232" s="3" t="s">
        <v>17</v>
      </c>
      <c r="E232" s="3">
        <v>9</v>
      </c>
      <c r="F232" s="3" t="s">
        <v>15</v>
      </c>
      <c r="G232" s="3">
        <v>17.66</v>
      </c>
      <c r="H232" s="3">
        <v>158.94</v>
      </c>
      <c r="I232" s="3" t="s">
        <v>72</v>
      </c>
      <c r="J232" s="3" t="s">
        <v>73</v>
      </c>
      <c r="K232" s="3" t="s">
        <v>74</v>
      </c>
    </row>
    <row r="233" spans="1:11" ht="15.6" x14ac:dyDescent="0.3">
      <c r="A233" s="5"/>
      <c r="B233" s="1">
        <v>1256</v>
      </c>
      <c r="C233" s="2">
        <v>45451</v>
      </c>
      <c r="D233" s="1" t="s">
        <v>22</v>
      </c>
      <c r="E233" s="1">
        <v>2</v>
      </c>
      <c r="F233" s="1" t="s">
        <v>21</v>
      </c>
      <c r="G233" s="1">
        <v>12.6</v>
      </c>
      <c r="H233" s="1">
        <v>25.2</v>
      </c>
      <c r="I233" s="1" t="s">
        <v>72</v>
      </c>
      <c r="J233" s="1" t="s">
        <v>73</v>
      </c>
      <c r="K233" s="1" t="s">
        <v>74</v>
      </c>
    </row>
    <row r="234" spans="1:11" ht="15.6" x14ac:dyDescent="0.3">
      <c r="A234" s="5"/>
      <c r="B234" s="3">
        <v>1253</v>
      </c>
      <c r="C234" s="4">
        <v>45464</v>
      </c>
      <c r="D234" s="3" t="s">
        <v>28</v>
      </c>
      <c r="E234" s="3">
        <v>4</v>
      </c>
      <c r="F234" s="3" t="s">
        <v>18</v>
      </c>
      <c r="G234" s="3">
        <v>43.2</v>
      </c>
      <c r="H234" s="3">
        <v>172.81</v>
      </c>
      <c r="I234" s="3" t="s">
        <v>72</v>
      </c>
      <c r="J234" s="3" t="s">
        <v>73</v>
      </c>
      <c r="K234" s="3" t="s">
        <v>74</v>
      </c>
    </row>
    <row r="235" spans="1:11" ht="15.6" x14ac:dyDescent="0.3">
      <c r="A235" s="5"/>
      <c r="B235" s="1">
        <v>1473</v>
      </c>
      <c r="C235" s="2">
        <v>45466</v>
      </c>
      <c r="D235" s="1" t="s">
        <v>22</v>
      </c>
      <c r="E235" s="1">
        <v>5</v>
      </c>
      <c r="F235" s="1" t="s">
        <v>10</v>
      </c>
      <c r="G235" s="1">
        <v>13.75</v>
      </c>
      <c r="H235" s="1">
        <v>68.77</v>
      </c>
      <c r="I235" s="1" t="s">
        <v>72</v>
      </c>
      <c r="J235" s="1" t="s">
        <v>73</v>
      </c>
      <c r="K235" s="1" t="s">
        <v>74</v>
      </c>
    </row>
    <row r="236" spans="1:11" ht="15.6" x14ac:dyDescent="0.3">
      <c r="A236" s="5"/>
      <c r="B236" s="3">
        <v>1111</v>
      </c>
      <c r="C236" s="4">
        <v>45467</v>
      </c>
      <c r="D236" s="3" t="s">
        <v>28</v>
      </c>
      <c r="E236" s="3">
        <v>4</v>
      </c>
      <c r="F236" s="3" t="s">
        <v>21</v>
      </c>
      <c r="G236" s="3">
        <v>45.09</v>
      </c>
      <c r="H236" s="3">
        <v>180.35</v>
      </c>
      <c r="I236" s="3" t="s">
        <v>72</v>
      </c>
      <c r="J236" s="3" t="s">
        <v>73</v>
      </c>
      <c r="K236" s="3" t="s">
        <v>74</v>
      </c>
    </row>
    <row r="237" spans="1:11" ht="15.6" x14ac:dyDescent="0.3">
      <c r="A237" s="5"/>
      <c r="B237" s="1">
        <v>1223</v>
      </c>
      <c r="C237" s="2">
        <v>45473</v>
      </c>
      <c r="D237" s="1" t="s">
        <v>16</v>
      </c>
      <c r="E237" s="1">
        <v>2</v>
      </c>
      <c r="F237" s="1" t="s">
        <v>21</v>
      </c>
      <c r="G237" s="1">
        <v>22.82</v>
      </c>
      <c r="H237" s="1">
        <v>45.65</v>
      </c>
      <c r="I237" s="1" t="s">
        <v>72</v>
      </c>
      <c r="J237" s="1" t="s">
        <v>73</v>
      </c>
      <c r="K237" s="1" t="s">
        <v>74</v>
      </c>
    </row>
    <row r="238" spans="1:11" ht="15.6" x14ac:dyDescent="0.3">
      <c r="A238" s="5"/>
      <c r="B238" s="3">
        <v>1329</v>
      </c>
      <c r="C238" s="4">
        <v>45477</v>
      </c>
      <c r="D238" s="3" t="s">
        <v>28</v>
      </c>
      <c r="E238" s="3">
        <v>4</v>
      </c>
      <c r="F238" s="3" t="s">
        <v>10</v>
      </c>
      <c r="G238" s="3">
        <v>45.54</v>
      </c>
      <c r="H238" s="3">
        <v>182.17</v>
      </c>
      <c r="I238" s="3" t="s">
        <v>75</v>
      </c>
      <c r="J238" s="3" t="s">
        <v>76</v>
      </c>
      <c r="K238" s="3" t="s">
        <v>77</v>
      </c>
    </row>
    <row r="239" spans="1:11" ht="15.6" x14ac:dyDescent="0.3">
      <c r="A239" s="5"/>
      <c r="B239" s="1">
        <v>1163</v>
      </c>
      <c r="C239" s="2">
        <v>45477</v>
      </c>
      <c r="D239" s="1" t="s">
        <v>24</v>
      </c>
      <c r="E239" s="1">
        <v>2</v>
      </c>
      <c r="F239" s="1" t="s">
        <v>18</v>
      </c>
      <c r="G239" s="1">
        <v>53.69</v>
      </c>
      <c r="H239" s="1">
        <v>107.37</v>
      </c>
      <c r="I239" s="1" t="s">
        <v>75</v>
      </c>
      <c r="J239" s="1" t="s">
        <v>76</v>
      </c>
      <c r="K239" s="1" t="s">
        <v>77</v>
      </c>
    </row>
    <row r="240" spans="1:11" ht="15.6" x14ac:dyDescent="0.3">
      <c r="A240" s="5"/>
      <c r="B240" s="3">
        <v>1115</v>
      </c>
      <c r="C240" s="4">
        <v>45483</v>
      </c>
      <c r="D240" s="3" t="s">
        <v>22</v>
      </c>
      <c r="E240" s="3">
        <v>5</v>
      </c>
      <c r="F240" s="3" t="s">
        <v>18</v>
      </c>
      <c r="G240" s="3">
        <v>12.36</v>
      </c>
      <c r="H240" s="3">
        <v>61.78</v>
      </c>
      <c r="I240" s="3" t="s">
        <v>75</v>
      </c>
      <c r="J240" s="3" t="s">
        <v>76</v>
      </c>
      <c r="K240" s="3" t="s">
        <v>77</v>
      </c>
    </row>
    <row r="241" spans="1:11" ht="15.6" x14ac:dyDescent="0.3">
      <c r="A241" s="5"/>
      <c r="B241" s="1">
        <v>1308</v>
      </c>
      <c r="C241" s="2">
        <v>45486</v>
      </c>
      <c r="D241" s="1" t="s">
        <v>23</v>
      </c>
      <c r="E241" s="1">
        <v>3</v>
      </c>
      <c r="F241" s="1" t="s">
        <v>21</v>
      </c>
      <c r="G241" s="1">
        <v>15.19</v>
      </c>
      <c r="H241" s="1">
        <v>45.56</v>
      </c>
      <c r="I241" s="1" t="s">
        <v>75</v>
      </c>
      <c r="J241" s="1" t="s">
        <v>76</v>
      </c>
      <c r="K241" s="1" t="s">
        <v>77</v>
      </c>
    </row>
    <row r="242" spans="1:11" ht="15.6" x14ac:dyDescent="0.3">
      <c r="A242" s="5"/>
      <c r="B242" s="3">
        <v>1026</v>
      </c>
      <c r="C242" s="4">
        <v>45489</v>
      </c>
      <c r="D242" s="3" t="s">
        <v>17</v>
      </c>
      <c r="E242" s="3">
        <v>5</v>
      </c>
      <c r="F242" s="3" t="s">
        <v>21</v>
      </c>
      <c r="G242" s="3">
        <v>17.989999999999998</v>
      </c>
      <c r="H242" s="3">
        <v>89.95</v>
      </c>
      <c r="I242" s="3" t="s">
        <v>75</v>
      </c>
      <c r="J242" s="3" t="s">
        <v>76</v>
      </c>
      <c r="K242" s="3" t="s">
        <v>77</v>
      </c>
    </row>
    <row r="243" spans="1:11" ht="15.6" x14ac:dyDescent="0.3">
      <c r="A243" s="5"/>
      <c r="B243" s="1">
        <v>1211</v>
      </c>
      <c r="C243" s="2">
        <v>45489</v>
      </c>
      <c r="D243" s="1" t="s">
        <v>20</v>
      </c>
      <c r="E243" s="1">
        <v>4</v>
      </c>
      <c r="F243" s="1" t="s">
        <v>10</v>
      </c>
      <c r="G243" s="1">
        <v>8.56</v>
      </c>
      <c r="H243" s="1">
        <v>34.24</v>
      </c>
      <c r="I243" s="1" t="s">
        <v>75</v>
      </c>
      <c r="J243" s="1" t="s">
        <v>76</v>
      </c>
      <c r="K243" s="1" t="s">
        <v>77</v>
      </c>
    </row>
    <row r="244" spans="1:11" ht="15.6" x14ac:dyDescent="0.3">
      <c r="A244" s="5"/>
      <c r="B244" s="3">
        <v>1105</v>
      </c>
      <c r="C244" s="4">
        <v>45490</v>
      </c>
      <c r="D244" s="3" t="s">
        <v>19</v>
      </c>
      <c r="E244" s="3">
        <v>6</v>
      </c>
      <c r="F244" s="3" t="s">
        <v>15</v>
      </c>
      <c r="G244" s="3">
        <v>39.29</v>
      </c>
      <c r="H244" s="3">
        <v>235.77</v>
      </c>
      <c r="I244" s="3" t="s">
        <v>75</v>
      </c>
      <c r="J244" s="3" t="s">
        <v>76</v>
      </c>
      <c r="K244" s="3" t="s">
        <v>77</v>
      </c>
    </row>
    <row r="245" spans="1:11" ht="15.6" x14ac:dyDescent="0.3">
      <c r="A245" s="5"/>
      <c r="B245" s="1">
        <v>1129</v>
      </c>
      <c r="C245" s="2">
        <v>45490</v>
      </c>
      <c r="D245" s="1" t="s">
        <v>20</v>
      </c>
      <c r="E245" s="1">
        <v>2</v>
      </c>
      <c r="F245" s="1" t="s">
        <v>15</v>
      </c>
      <c r="G245" s="1">
        <v>7.34</v>
      </c>
      <c r="H245" s="1">
        <v>14.67</v>
      </c>
      <c r="I245" s="1" t="s">
        <v>75</v>
      </c>
      <c r="J245" s="1" t="s">
        <v>76</v>
      </c>
      <c r="K245" s="1" t="s">
        <v>77</v>
      </c>
    </row>
    <row r="246" spans="1:11" ht="15.6" x14ac:dyDescent="0.3">
      <c r="A246" s="5"/>
      <c r="B246" s="3">
        <v>1038</v>
      </c>
      <c r="C246" s="4">
        <v>45491</v>
      </c>
      <c r="D246" s="3" t="s">
        <v>9</v>
      </c>
      <c r="E246" s="3">
        <v>7</v>
      </c>
      <c r="F246" s="3" t="s">
        <v>18</v>
      </c>
      <c r="G246" s="3">
        <v>67.41</v>
      </c>
      <c r="H246" s="3">
        <v>471.89</v>
      </c>
      <c r="I246" s="3" t="s">
        <v>75</v>
      </c>
      <c r="J246" s="3" t="s">
        <v>76</v>
      </c>
      <c r="K246" s="3" t="s">
        <v>77</v>
      </c>
    </row>
    <row r="247" spans="1:11" ht="15.6" x14ac:dyDescent="0.3">
      <c r="A247" s="5"/>
      <c r="B247" s="1">
        <v>1242</v>
      </c>
      <c r="C247" s="2">
        <v>45492</v>
      </c>
      <c r="D247" s="1" t="s">
        <v>23</v>
      </c>
      <c r="E247" s="1">
        <v>2</v>
      </c>
      <c r="F247" s="1" t="s">
        <v>21</v>
      </c>
      <c r="G247" s="1">
        <v>15.13</v>
      </c>
      <c r="H247" s="1">
        <v>30.26</v>
      </c>
      <c r="I247" s="1" t="s">
        <v>75</v>
      </c>
      <c r="J247" s="1" t="s">
        <v>76</v>
      </c>
      <c r="K247" s="1" t="s">
        <v>77</v>
      </c>
    </row>
    <row r="248" spans="1:11" ht="15.6" x14ac:dyDescent="0.3">
      <c r="A248" s="5"/>
      <c r="B248" s="3">
        <v>1048</v>
      </c>
      <c r="C248" s="4">
        <v>45492</v>
      </c>
      <c r="D248" s="3" t="s">
        <v>23</v>
      </c>
      <c r="E248" s="3">
        <v>5</v>
      </c>
      <c r="F248" s="3" t="s">
        <v>15</v>
      </c>
      <c r="G248" s="3">
        <v>14.8</v>
      </c>
      <c r="H248" s="3">
        <v>73.989999999999995</v>
      </c>
      <c r="I248" s="3" t="s">
        <v>75</v>
      </c>
      <c r="J248" s="3" t="s">
        <v>76</v>
      </c>
      <c r="K248" s="3" t="s">
        <v>77</v>
      </c>
    </row>
    <row r="249" spans="1:11" ht="15.6" x14ac:dyDescent="0.3">
      <c r="A249" s="5"/>
      <c r="B249" s="1">
        <v>1404</v>
      </c>
      <c r="C249" s="2">
        <v>45495</v>
      </c>
      <c r="D249" s="1" t="s">
        <v>14</v>
      </c>
      <c r="E249" s="1">
        <v>7</v>
      </c>
      <c r="F249" s="1" t="s">
        <v>10</v>
      </c>
      <c r="G249" s="1">
        <v>22.2</v>
      </c>
      <c r="H249" s="1">
        <v>155.41999999999999</v>
      </c>
      <c r="I249" s="1" t="s">
        <v>75</v>
      </c>
      <c r="J249" s="1" t="s">
        <v>76</v>
      </c>
      <c r="K249" s="1" t="s">
        <v>77</v>
      </c>
    </row>
    <row r="250" spans="1:11" ht="15.6" x14ac:dyDescent="0.3">
      <c r="A250" s="5"/>
      <c r="B250" s="3">
        <v>1243</v>
      </c>
      <c r="C250" s="4">
        <v>45496</v>
      </c>
      <c r="D250" s="3" t="s">
        <v>24</v>
      </c>
      <c r="E250" s="3">
        <v>4</v>
      </c>
      <c r="F250" s="3" t="s">
        <v>10</v>
      </c>
      <c r="G250" s="3">
        <v>55.68</v>
      </c>
      <c r="H250" s="3">
        <v>222.7</v>
      </c>
      <c r="I250" s="3" t="s">
        <v>75</v>
      </c>
      <c r="J250" s="3" t="s">
        <v>76</v>
      </c>
      <c r="K250" s="3" t="s">
        <v>77</v>
      </c>
    </row>
    <row r="251" spans="1:11" ht="15.6" x14ac:dyDescent="0.3">
      <c r="A251" s="5"/>
      <c r="B251" s="1">
        <v>1275</v>
      </c>
      <c r="C251" s="2">
        <v>45496</v>
      </c>
      <c r="D251" s="1" t="s">
        <v>28</v>
      </c>
      <c r="E251" s="1">
        <v>4</v>
      </c>
      <c r="F251" s="1" t="s">
        <v>21</v>
      </c>
      <c r="G251" s="1">
        <v>46.19</v>
      </c>
      <c r="H251" s="1">
        <v>184.76</v>
      </c>
      <c r="I251" s="1" t="s">
        <v>75</v>
      </c>
      <c r="J251" s="1" t="s">
        <v>76</v>
      </c>
      <c r="K251" s="1" t="s">
        <v>77</v>
      </c>
    </row>
    <row r="252" spans="1:11" ht="15.6" x14ac:dyDescent="0.3">
      <c r="A252" s="5"/>
      <c r="B252" s="3">
        <v>1272</v>
      </c>
      <c r="C252" s="4">
        <v>45501</v>
      </c>
      <c r="D252" s="3" t="s">
        <v>23</v>
      </c>
      <c r="E252" s="3">
        <v>4</v>
      </c>
      <c r="F252" s="3" t="s">
        <v>10</v>
      </c>
      <c r="G252" s="3">
        <v>15.23</v>
      </c>
      <c r="H252" s="3">
        <v>60.91</v>
      </c>
      <c r="I252" s="3" t="s">
        <v>75</v>
      </c>
      <c r="J252" s="3" t="s">
        <v>76</v>
      </c>
      <c r="K252" s="3" t="s">
        <v>77</v>
      </c>
    </row>
    <row r="253" spans="1:11" ht="15.6" x14ac:dyDescent="0.3">
      <c r="A253" s="5"/>
      <c r="B253" s="1">
        <v>1113</v>
      </c>
      <c r="C253" s="2">
        <v>45504</v>
      </c>
      <c r="D253" s="1" t="s">
        <v>17</v>
      </c>
      <c r="E253" s="1">
        <v>2</v>
      </c>
      <c r="F253" s="1" t="s">
        <v>10</v>
      </c>
      <c r="G253" s="1">
        <v>18.489999999999998</v>
      </c>
      <c r="H253" s="1">
        <v>36.979999999999997</v>
      </c>
      <c r="I253" s="1" t="s">
        <v>75</v>
      </c>
      <c r="J253" s="1" t="s">
        <v>76</v>
      </c>
      <c r="K253" s="1" t="s">
        <v>77</v>
      </c>
    </row>
    <row r="254" spans="1:11" ht="15.6" x14ac:dyDescent="0.3">
      <c r="A254" s="5"/>
      <c r="B254" s="3">
        <v>1312</v>
      </c>
      <c r="C254" s="4">
        <v>45507</v>
      </c>
      <c r="D254" s="3" t="s">
        <v>14</v>
      </c>
      <c r="E254" s="3">
        <v>5</v>
      </c>
      <c r="F254" s="3" t="s">
        <v>21</v>
      </c>
      <c r="G254" s="3">
        <v>21.75</v>
      </c>
      <c r="H254" s="3">
        <v>108.77</v>
      </c>
      <c r="I254" s="3" t="s">
        <v>78</v>
      </c>
      <c r="J254" s="3" t="s">
        <v>79</v>
      </c>
      <c r="K254" s="3" t="s">
        <v>80</v>
      </c>
    </row>
    <row r="255" spans="1:11" ht="15.6" x14ac:dyDescent="0.3">
      <c r="A255" s="5"/>
      <c r="B255" s="1">
        <v>1187</v>
      </c>
      <c r="C255" s="2">
        <v>45513</v>
      </c>
      <c r="D255" s="1" t="s">
        <v>14</v>
      </c>
      <c r="E255" s="1">
        <v>3</v>
      </c>
      <c r="F255" s="1" t="s">
        <v>21</v>
      </c>
      <c r="G255" s="1">
        <v>22.58</v>
      </c>
      <c r="H255" s="1">
        <v>67.739999999999995</v>
      </c>
      <c r="I255" s="1" t="s">
        <v>78</v>
      </c>
      <c r="J255" s="1" t="s">
        <v>79</v>
      </c>
      <c r="K255" s="1" t="s">
        <v>80</v>
      </c>
    </row>
    <row r="256" spans="1:11" ht="15.6" x14ac:dyDescent="0.3">
      <c r="A256" s="5"/>
      <c r="B256" s="3">
        <v>1413</v>
      </c>
      <c r="C256" s="4">
        <v>45514</v>
      </c>
      <c r="D256" s="3" t="s">
        <v>24</v>
      </c>
      <c r="E256" s="3">
        <v>4</v>
      </c>
      <c r="F256" s="3" t="s">
        <v>18</v>
      </c>
      <c r="G256" s="3">
        <v>54.55</v>
      </c>
      <c r="H256" s="3">
        <v>218.19</v>
      </c>
      <c r="I256" s="3" t="s">
        <v>78</v>
      </c>
      <c r="J256" s="3" t="s">
        <v>79</v>
      </c>
      <c r="K256" s="3" t="s">
        <v>80</v>
      </c>
    </row>
    <row r="257" spans="1:11" ht="15.6" x14ac:dyDescent="0.3">
      <c r="A257" s="5"/>
      <c r="B257" s="1">
        <v>1073</v>
      </c>
      <c r="C257" s="2">
        <v>45519</v>
      </c>
      <c r="D257" s="1" t="s">
        <v>17</v>
      </c>
      <c r="E257" s="1">
        <v>5</v>
      </c>
      <c r="F257" s="1" t="s">
        <v>18</v>
      </c>
      <c r="G257" s="1">
        <v>16.79</v>
      </c>
      <c r="H257" s="1">
        <v>83.96</v>
      </c>
      <c r="I257" s="1" t="s">
        <v>78</v>
      </c>
      <c r="J257" s="1" t="s">
        <v>79</v>
      </c>
      <c r="K257" s="1" t="s">
        <v>80</v>
      </c>
    </row>
    <row r="258" spans="1:11" ht="15.6" x14ac:dyDescent="0.3">
      <c r="A258" s="5"/>
      <c r="B258" s="3">
        <v>1386</v>
      </c>
      <c r="C258" s="4">
        <v>45522</v>
      </c>
      <c r="D258" s="3" t="s">
        <v>9</v>
      </c>
      <c r="E258" s="3">
        <v>1</v>
      </c>
      <c r="F258" s="3" t="s">
        <v>21</v>
      </c>
      <c r="G258" s="3">
        <v>64.599999999999994</v>
      </c>
      <c r="H258" s="3">
        <v>64.599999999999994</v>
      </c>
      <c r="I258" s="3" t="s">
        <v>78</v>
      </c>
      <c r="J258" s="3" t="s">
        <v>79</v>
      </c>
      <c r="K258" s="3" t="s">
        <v>80</v>
      </c>
    </row>
    <row r="259" spans="1:11" ht="15.6" x14ac:dyDescent="0.3">
      <c r="A259" s="5"/>
      <c r="B259" s="1">
        <v>1033</v>
      </c>
      <c r="C259" s="2">
        <v>45527</v>
      </c>
      <c r="D259" s="1" t="s">
        <v>20</v>
      </c>
      <c r="E259" s="1">
        <v>4</v>
      </c>
      <c r="F259" s="1" t="s">
        <v>18</v>
      </c>
      <c r="G259" s="1">
        <v>7.22</v>
      </c>
      <c r="H259" s="1">
        <v>28.89</v>
      </c>
      <c r="I259" s="1" t="s">
        <v>78</v>
      </c>
      <c r="J259" s="1" t="s">
        <v>79</v>
      </c>
      <c r="K259" s="1" t="s">
        <v>80</v>
      </c>
    </row>
    <row r="260" spans="1:11" ht="15.6" x14ac:dyDescent="0.3">
      <c r="A260" s="5"/>
      <c r="B260" s="3">
        <v>1360</v>
      </c>
      <c r="C260" s="4">
        <v>45531</v>
      </c>
      <c r="D260" s="3" t="s">
        <v>28</v>
      </c>
      <c r="E260" s="3">
        <v>4</v>
      </c>
      <c r="F260" s="3" t="s">
        <v>15</v>
      </c>
      <c r="G260" s="3">
        <v>45.24</v>
      </c>
      <c r="H260" s="3">
        <v>180.96</v>
      </c>
      <c r="I260" s="3" t="s">
        <v>78</v>
      </c>
      <c r="J260" s="3" t="s">
        <v>79</v>
      </c>
      <c r="K260" s="3" t="s">
        <v>80</v>
      </c>
    </row>
    <row r="261" spans="1:11" ht="15.6" x14ac:dyDescent="0.3">
      <c r="A261" s="5"/>
      <c r="B261" s="1">
        <v>1233</v>
      </c>
      <c r="C261" s="2">
        <v>45533</v>
      </c>
      <c r="D261" s="1" t="s">
        <v>9</v>
      </c>
      <c r="E261" s="1">
        <v>5</v>
      </c>
      <c r="F261" s="1" t="s">
        <v>15</v>
      </c>
      <c r="G261" s="1">
        <v>66.73</v>
      </c>
      <c r="H261" s="1">
        <v>333.66</v>
      </c>
      <c r="I261" s="1" t="s">
        <v>78</v>
      </c>
      <c r="J261" s="1" t="s">
        <v>79</v>
      </c>
      <c r="K261" s="1" t="s">
        <v>80</v>
      </c>
    </row>
    <row r="262" spans="1:11" ht="15.6" x14ac:dyDescent="0.3">
      <c r="A262" s="5"/>
      <c r="B262" s="3">
        <v>1152</v>
      </c>
      <c r="C262" s="4">
        <v>45535</v>
      </c>
      <c r="D262" s="3" t="s">
        <v>19</v>
      </c>
      <c r="E262" s="3">
        <v>4</v>
      </c>
      <c r="F262" s="3" t="s">
        <v>21</v>
      </c>
      <c r="G262" s="3">
        <v>34.17</v>
      </c>
      <c r="H262" s="3">
        <v>136.66999999999999</v>
      </c>
      <c r="I262" s="3" t="s">
        <v>78</v>
      </c>
      <c r="J262" s="3" t="s">
        <v>79</v>
      </c>
      <c r="K262" s="3" t="s">
        <v>80</v>
      </c>
    </row>
    <row r="263" spans="1:11" ht="15.6" x14ac:dyDescent="0.3">
      <c r="A263" s="5"/>
      <c r="B263" s="1">
        <v>1281</v>
      </c>
      <c r="C263" s="2">
        <v>45539</v>
      </c>
      <c r="D263" s="1" t="s">
        <v>16</v>
      </c>
      <c r="E263" s="1">
        <v>4</v>
      </c>
      <c r="F263" s="1" t="s">
        <v>18</v>
      </c>
      <c r="G263" s="1">
        <v>27.54</v>
      </c>
      <c r="H263" s="1">
        <v>110.17</v>
      </c>
      <c r="I263" s="1" t="s">
        <v>81</v>
      </c>
      <c r="J263" s="1" t="s">
        <v>82</v>
      </c>
      <c r="K263" s="1" t="s">
        <v>83</v>
      </c>
    </row>
    <row r="264" spans="1:11" ht="15.6" x14ac:dyDescent="0.3">
      <c r="A264" s="5"/>
      <c r="B264" s="3">
        <v>1092</v>
      </c>
      <c r="C264" s="4">
        <v>45539</v>
      </c>
      <c r="D264" s="3" t="s">
        <v>9</v>
      </c>
      <c r="E264" s="3">
        <v>5</v>
      </c>
      <c r="F264" s="3" t="s">
        <v>18</v>
      </c>
      <c r="G264" s="3">
        <v>62.22</v>
      </c>
      <c r="H264" s="3">
        <v>311.08999999999997</v>
      </c>
      <c r="I264" s="3" t="s">
        <v>81</v>
      </c>
      <c r="J264" s="3" t="s">
        <v>82</v>
      </c>
      <c r="K264" s="3" t="s">
        <v>83</v>
      </c>
    </row>
    <row r="265" spans="1:11" ht="15.6" x14ac:dyDescent="0.3">
      <c r="A265" s="5"/>
      <c r="B265" s="1">
        <v>1365</v>
      </c>
      <c r="C265" s="2">
        <v>45543</v>
      </c>
      <c r="D265" s="1" t="s">
        <v>22</v>
      </c>
      <c r="E265" s="1">
        <v>4</v>
      </c>
      <c r="F265" s="1" t="s">
        <v>10</v>
      </c>
      <c r="G265" s="1">
        <v>11.73</v>
      </c>
      <c r="H265" s="1">
        <v>46.94</v>
      </c>
      <c r="I265" s="1" t="s">
        <v>81</v>
      </c>
      <c r="J265" s="1" t="s">
        <v>82</v>
      </c>
      <c r="K265" s="1" t="s">
        <v>83</v>
      </c>
    </row>
    <row r="266" spans="1:11" ht="15.6" x14ac:dyDescent="0.3">
      <c r="A266" s="5"/>
      <c r="B266" s="3">
        <v>1172</v>
      </c>
      <c r="C266" s="4">
        <v>45550</v>
      </c>
      <c r="D266" s="3" t="s">
        <v>20</v>
      </c>
      <c r="E266" s="3">
        <v>6</v>
      </c>
      <c r="F266" s="3" t="s">
        <v>15</v>
      </c>
      <c r="G266" s="3">
        <v>7.35</v>
      </c>
      <c r="H266" s="3">
        <v>44.13</v>
      </c>
      <c r="I266" s="3" t="s">
        <v>81</v>
      </c>
      <c r="J266" s="3" t="s">
        <v>82</v>
      </c>
      <c r="K266" s="3" t="s">
        <v>83</v>
      </c>
    </row>
    <row r="267" spans="1:11" ht="15.6" x14ac:dyDescent="0.3">
      <c r="A267" s="5"/>
      <c r="B267" s="1">
        <v>1245</v>
      </c>
      <c r="C267" s="2">
        <v>45552</v>
      </c>
      <c r="D267" s="1" t="s">
        <v>24</v>
      </c>
      <c r="E267" s="1">
        <v>3</v>
      </c>
      <c r="F267" s="1" t="s">
        <v>21</v>
      </c>
      <c r="G267" s="1">
        <v>56.58</v>
      </c>
      <c r="H267" s="1">
        <v>169.74</v>
      </c>
      <c r="I267" s="1" t="s">
        <v>81</v>
      </c>
      <c r="J267" s="1" t="s">
        <v>82</v>
      </c>
      <c r="K267" s="1" t="s">
        <v>83</v>
      </c>
    </row>
    <row r="268" spans="1:11" ht="15.6" x14ac:dyDescent="0.3">
      <c r="A268" s="5"/>
      <c r="B268" s="3">
        <v>1186</v>
      </c>
      <c r="C268" s="4">
        <v>45554</v>
      </c>
      <c r="D268" s="3" t="s">
        <v>20</v>
      </c>
      <c r="E268" s="3">
        <v>3</v>
      </c>
      <c r="F268" s="3" t="s">
        <v>18</v>
      </c>
      <c r="G268" s="3">
        <v>7.77</v>
      </c>
      <c r="H268" s="3">
        <v>23.32</v>
      </c>
      <c r="I268" s="3" t="s">
        <v>81</v>
      </c>
      <c r="J268" s="3" t="s">
        <v>82</v>
      </c>
      <c r="K268" s="3" t="s">
        <v>83</v>
      </c>
    </row>
    <row r="269" spans="1:11" ht="15.6" x14ac:dyDescent="0.3">
      <c r="A269" s="5"/>
      <c r="B269" s="1">
        <v>1121</v>
      </c>
      <c r="C269" s="2">
        <v>45554</v>
      </c>
      <c r="D269" s="1" t="s">
        <v>20</v>
      </c>
      <c r="E269" s="1">
        <v>4</v>
      </c>
      <c r="F269" s="1" t="s">
        <v>18</v>
      </c>
      <c r="G269" s="1">
        <v>8.27</v>
      </c>
      <c r="H269" s="1">
        <v>33.08</v>
      </c>
      <c r="I269" s="1" t="s">
        <v>81</v>
      </c>
      <c r="J269" s="1" t="s">
        <v>82</v>
      </c>
      <c r="K269" s="1" t="s">
        <v>83</v>
      </c>
    </row>
    <row r="270" spans="1:11" ht="15.6" x14ac:dyDescent="0.3">
      <c r="A270" s="5"/>
      <c r="B270" s="3">
        <v>1120</v>
      </c>
      <c r="C270" s="4">
        <v>45559</v>
      </c>
      <c r="D270" s="3" t="s">
        <v>22</v>
      </c>
      <c r="E270" s="3">
        <v>4</v>
      </c>
      <c r="F270" s="3" t="s">
        <v>21</v>
      </c>
      <c r="G270" s="3">
        <v>12.46</v>
      </c>
      <c r="H270" s="3">
        <v>49.85</v>
      </c>
      <c r="I270" s="3" t="s">
        <v>81</v>
      </c>
      <c r="J270" s="3" t="s">
        <v>82</v>
      </c>
      <c r="K270" s="3" t="s">
        <v>83</v>
      </c>
    </row>
    <row r="271" spans="1:11" ht="15.6" x14ac:dyDescent="0.3">
      <c r="A271" s="5"/>
      <c r="B271" s="1">
        <v>1421</v>
      </c>
      <c r="C271" s="2">
        <v>45560</v>
      </c>
      <c r="D271" s="1" t="s">
        <v>14</v>
      </c>
      <c r="E271" s="1">
        <v>4</v>
      </c>
      <c r="F271" s="1" t="s">
        <v>18</v>
      </c>
      <c r="G271" s="1">
        <v>21.2</v>
      </c>
      <c r="H271" s="1">
        <v>84.81</v>
      </c>
      <c r="I271" s="1" t="s">
        <v>81</v>
      </c>
      <c r="J271" s="1" t="s">
        <v>82</v>
      </c>
      <c r="K271" s="1" t="s">
        <v>83</v>
      </c>
    </row>
    <row r="272" spans="1:11" ht="15.6" x14ac:dyDescent="0.3">
      <c r="A272" s="5"/>
      <c r="B272" s="3">
        <v>1305</v>
      </c>
      <c r="C272" s="4">
        <v>45560</v>
      </c>
      <c r="D272" s="3" t="s">
        <v>19</v>
      </c>
      <c r="E272" s="3">
        <v>4</v>
      </c>
      <c r="F272" s="3" t="s">
        <v>15</v>
      </c>
      <c r="G272" s="3">
        <v>35.979999999999997</v>
      </c>
      <c r="H272" s="3">
        <v>143.91</v>
      </c>
      <c r="I272" s="3" t="s">
        <v>81</v>
      </c>
      <c r="J272" s="3" t="s">
        <v>82</v>
      </c>
      <c r="K272" s="3" t="s">
        <v>83</v>
      </c>
    </row>
    <row r="273" spans="1:11" ht="15.6" x14ac:dyDescent="0.3">
      <c r="A273" s="5"/>
      <c r="B273" s="1">
        <v>1408</v>
      </c>
      <c r="C273" s="2">
        <v>45560</v>
      </c>
      <c r="D273" s="1" t="s">
        <v>14</v>
      </c>
      <c r="E273" s="1">
        <v>7</v>
      </c>
      <c r="F273" s="1" t="s">
        <v>10</v>
      </c>
      <c r="G273" s="1">
        <v>19.329999999999998</v>
      </c>
      <c r="H273" s="1">
        <v>135.33000000000001</v>
      </c>
      <c r="I273" s="1" t="s">
        <v>81</v>
      </c>
      <c r="J273" s="1" t="s">
        <v>82</v>
      </c>
      <c r="K273" s="1" t="s">
        <v>83</v>
      </c>
    </row>
    <row r="274" spans="1:11" ht="15.6" x14ac:dyDescent="0.3">
      <c r="A274" s="5"/>
      <c r="B274" s="3">
        <v>1297</v>
      </c>
      <c r="C274" s="4">
        <v>45562</v>
      </c>
      <c r="D274" s="3" t="s">
        <v>28</v>
      </c>
      <c r="E274" s="3">
        <v>2</v>
      </c>
      <c r="F274" s="3" t="s">
        <v>21</v>
      </c>
      <c r="G274" s="3">
        <v>43.85</v>
      </c>
      <c r="H274" s="3">
        <v>87.69</v>
      </c>
      <c r="I274" s="3" t="s">
        <v>81</v>
      </c>
      <c r="J274" s="3" t="s">
        <v>82</v>
      </c>
      <c r="K274" s="3" t="s">
        <v>83</v>
      </c>
    </row>
    <row r="275" spans="1:11" ht="15.6" x14ac:dyDescent="0.3">
      <c r="A275" s="5"/>
      <c r="B275" s="1">
        <v>1203</v>
      </c>
      <c r="C275" s="2">
        <v>45566</v>
      </c>
      <c r="D275" s="1" t="s">
        <v>9</v>
      </c>
      <c r="E275" s="1">
        <v>5</v>
      </c>
      <c r="F275" s="1" t="s">
        <v>15</v>
      </c>
      <c r="G275" s="1">
        <v>60.68</v>
      </c>
      <c r="H275" s="1">
        <v>303.39</v>
      </c>
      <c r="I275" s="1" t="s">
        <v>84</v>
      </c>
      <c r="J275" s="1" t="s">
        <v>85</v>
      </c>
      <c r="K275" s="1" t="s">
        <v>86</v>
      </c>
    </row>
    <row r="276" spans="1:11" ht="15.6" x14ac:dyDescent="0.3">
      <c r="A276" s="5"/>
      <c r="B276" s="3">
        <v>1166</v>
      </c>
      <c r="C276" s="4">
        <v>45567</v>
      </c>
      <c r="D276" s="3" t="s">
        <v>20</v>
      </c>
      <c r="E276" s="3">
        <v>4</v>
      </c>
      <c r="F276" s="3" t="s">
        <v>21</v>
      </c>
      <c r="G276" s="3">
        <v>7.15</v>
      </c>
      <c r="H276" s="3">
        <v>28.61</v>
      </c>
      <c r="I276" s="3" t="s">
        <v>84</v>
      </c>
      <c r="J276" s="3" t="s">
        <v>85</v>
      </c>
      <c r="K276" s="3" t="s">
        <v>86</v>
      </c>
    </row>
    <row r="277" spans="1:11" ht="15.6" x14ac:dyDescent="0.3">
      <c r="A277" s="5"/>
      <c r="B277" s="1">
        <v>1134</v>
      </c>
      <c r="C277" s="2">
        <v>45568</v>
      </c>
      <c r="D277" s="1" t="s">
        <v>24</v>
      </c>
      <c r="E277" s="1">
        <v>3</v>
      </c>
      <c r="F277" s="1" t="s">
        <v>21</v>
      </c>
      <c r="G277" s="1">
        <v>51</v>
      </c>
      <c r="H277" s="1">
        <v>153.01</v>
      </c>
      <c r="I277" s="1" t="s">
        <v>84</v>
      </c>
      <c r="J277" s="1" t="s">
        <v>85</v>
      </c>
      <c r="K277" s="1" t="s">
        <v>86</v>
      </c>
    </row>
    <row r="278" spans="1:11" ht="15.6" x14ac:dyDescent="0.3">
      <c r="A278" s="5"/>
      <c r="B278" s="3">
        <v>1093</v>
      </c>
      <c r="C278" s="4">
        <v>45569</v>
      </c>
      <c r="D278" s="3" t="s">
        <v>24</v>
      </c>
      <c r="E278" s="3">
        <v>5</v>
      </c>
      <c r="F278" s="3" t="s">
        <v>10</v>
      </c>
      <c r="G278" s="3">
        <v>62.54</v>
      </c>
      <c r="H278" s="3">
        <v>312.7</v>
      </c>
      <c r="I278" s="3" t="s">
        <v>84</v>
      </c>
      <c r="J278" s="3" t="s">
        <v>85</v>
      </c>
      <c r="K278" s="3" t="s">
        <v>86</v>
      </c>
    </row>
    <row r="279" spans="1:11" ht="15.6" x14ac:dyDescent="0.3">
      <c r="A279" s="5"/>
      <c r="B279" s="1">
        <v>1117</v>
      </c>
      <c r="C279" s="2">
        <v>45572</v>
      </c>
      <c r="D279" s="1" t="s">
        <v>22</v>
      </c>
      <c r="E279" s="1">
        <v>3</v>
      </c>
      <c r="F279" s="1" t="s">
        <v>18</v>
      </c>
      <c r="G279" s="1">
        <v>12.21</v>
      </c>
      <c r="H279" s="1">
        <v>36.619999999999997</v>
      </c>
      <c r="I279" s="1" t="s">
        <v>84</v>
      </c>
      <c r="J279" s="1" t="s">
        <v>85</v>
      </c>
      <c r="K279" s="1" t="s">
        <v>86</v>
      </c>
    </row>
    <row r="280" spans="1:11" ht="15.6" x14ac:dyDescent="0.3">
      <c r="A280" s="5"/>
      <c r="B280" s="3">
        <v>1028</v>
      </c>
      <c r="C280" s="4">
        <v>45573</v>
      </c>
      <c r="D280" s="3" t="s">
        <v>24</v>
      </c>
      <c r="E280" s="3">
        <v>3</v>
      </c>
      <c r="F280" s="3" t="s">
        <v>21</v>
      </c>
      <c r="G280" s="3">
        <v>57.19</v>
      </c>
      <c r="H280" s="3">
        <v>171.58</v>
      </c>
      <c r="I280" s="3" t="s">
        <v>84</v>
      </c>
      <c r="J280" s="3" t="s">
        <v>85</v>
      </c>
      <c r="K280" s="3" t="s">
        <v>86</v>
      </c>
    </row>
    <row r="281" spans="1:11" ht="15.6" x14ac:dyDescent="0.3">
      <c r="A281" s="5"/>
      <c r="B281" s="1">
        <v>1072</v>
      </c>
      <c r="C281" s="2">
        <v>45574</v>
      </c>
      <c r="D281" s="1" t="s">
        <v>16</v>
      </c>
      <c r="E281" s="1">
        <v>4</v>
      </c>
      <c r="F281" s="1" t="s">
        <v>15</v>
      </c>
      <c r="G281" s="1">
        <v>24.92</v>
      </c>
      <c r="H281" s="1">
        <v>99.68</v>
      </c>
      <c r="I281" s="1" t="s">
        <v>84</v>
      </c>
      <c r="J281" s="1" t="s">
        <v>85</v>
      </c>
      <c r="K281" s="1" t="s">
        <v>86</v>
      </c>
    </row>
    <row r="282" spans="1:11" ht="15.6" x14ac:dyDescent="0.3">
      <c r="A282" s="5"/>
      <c r="B282" s="3">
        <v>1124</v>
      </c>
      <c r="C282" s="4">
        <v>45575</v>
      </c>
      <c r="D282" s="3" t="s">
        <v>23</v>
      </c>
      <c r="E282" s="3">
        <v>5</v>
      </c>
      <c r="F282" s="3" t="s">
        <v>15</v>
      </c>
      <c r="G282" s="3">
        <v>14.92</v>
      </c>
      <c r="H282" s="3">
        <v>74.58</v>
      </c>
      <c r="I282" s="3" t="s">
        <v>84</v>
      </c>
      <c r="J282" s="3" t="s">
        <v>85</v>
      </c>
      <c r="K282" s="3" t="s">
        <v>86</v>
      </c>
    </row>
    <row r="283" spans="1:11" ht="15.6" x14ac:dyDescent="0.3">
      <c r="A283" s="5"/>
      <c r="B283" s="1">
        <v>1434</v>
      </c>
      <c r="C283" s="2">
        <v>45579</v>
      </c>
      <c r="D283" s="1" t="s">
        <v>28</v>
      </c>
      <c r="E283" s="1">
        <v>6</v>
      </c>
      <c r="F283" s="1" t="s">
        <v>21</v>
      </c>
      <c r="G283" s="1">
        <v>46.85</v>
      </c>
      <c r="H283" s="1">
        <v>281.11</v>
      </c>
      <c r="I283" s="1" t="s">
        <v>84</v>
      </c>
      <c r="J283" s="1" t="s">
        <v>85</v>
      </c>
      <c r="K283" s="1" t="s">
        <v>86</v>
      </c>
    </row>
    <row r="284" spans="1:11" ht="15.6" x14ac:dyDescent="0.3">
      <c r="A284" s="5"/>
      <c r="B284" s="3">
        <v>1265</v>
      </c>
      <c r="C284" s="4">
        <v>45580</v>
      </c>
      <c r="D284" s="3" t="s">
        <v>17</v>
      </c>
      <c r="E284" s="3">
        <v>6</v>
      </c>
      <c r="F284" s="3" t="s">
        <v>10</v>
      </c>
      <c r="G284" s="3">
        <v>17.63</v>
      </c>
      <c r="H284" s="3">
        <v>105.78</v>
      </c>
      <c r="I284" s="3" t="s">
        <v>84</v>
      </c>
      <c r="J284" s="3" t="s">
        <v>85</v>
      </c>
      <c r="K284" s="3" t="s">
        <v>86</v>
      </c>
    </row>
    <row r="285" spans="1:11" ht="15.6" x14ac:dyDescent="0.3">
      <c r="A285" s="5"/>
      <c r="B285" s="1">
        <v>1294</v>
      </c>
      <c r="C285" s="2">
        <v>45582</v>
      </c>
      <c r="D285" s="1" t="s">
        <v>16</v>
      </c>
      <c r="E285" s="1">
        <v>6</v>
      </c>
      <c r="F285" s="1" t="s">
        <v>15</v>
      </c>
      <c r="G285" s="1">
        <v>23.4</v>
      </c>
      <c r="H285" s="1">
        <v>140.38</v>
      </c>
      <c r="I285" s="1" t="s">
        <v>84</v>
      </c>
      <c r="J285" s="1" t="s">
        <v>85</v>
      </c>
      <c r="K285" s="1" t="s">
        <v>86</v>
      </c>
    </row>
    <row r="286" spans="1:11" ht="15.6" x14ac:dyDescent="0.3">
      <c r="A286" s="5"/>
      <c r="B286" s="3">
        <v>1459</v>
      </c>
      <c r="C286" s="4">
        <v>45582</v>
      </c>
      <c r="D286" s="3" t="s">
        <v>28</v>
      </c>
      <c r="E286" s="3">
        <v>4</v>
      </c>
      <c r="F286" s="3" t="s">
        <v>18</v>
      </c>
      <c r="G286" s="3">
        <v>45.53</v>
      </c>
      <c r="H286" s="3">
        <v>182.13</v>
      </c>
      <c r="I286" s="3" t="s">
        <v>84</v>
      </c>
      <c r="J286" s="3" t="s">
        <v>85</v>
      </c>
      <c r="K286" s="3" t="s">
        <v>86</v>
      </c>
    </row>
    <row r="287" spans="1:11" ht="15.6" x14ac:dyDescent="0.3">
      <c r="A287" s="5"/>
      <c r="B287" s="1">
        <v>1298</v>
      </c>
      <c r="C287" s="2">
        <v>45583</v>
      </c>
      <c r="D287" s="1" t="s">
        <v>22</v>
      </c>
      <c r="E287" s="1">
        <v>4</v>
      </c>
      <c r="F287" s="1" t="s">
        <v>15</v>
      </c>
      <c r="G287" s="1">
        <v>10.34</v>
      </c>
      <c r="H287" s="1">
        <v>41.38</v>
      </c>
      <c r="I287" s="1" t="s">
        <v>84</v>
      </c>
      <c r="J287" s="1" t="s">
        <v>85</v>
      </c>
      <c r="K287" s="1" t="s">
        <v>86</v>
      </c>
    </row>
    <row r="288" spans="1:11" ht="15.6" x14ac:dyDescent="0.3">
      <c r="A288" s="5"/>
      <c r="B288" s="3">
        <v>1411</v>
      </c>
      <c r="C288" s="4">
        <v>45584</v>
      </c>
      <c r="D288" s="3" t="s">
        <v>24</v>
      </c>
      <c r="E288" s="3">
        <v>6</v>
      </c>
      <c r="F288" s="3" t="s">
        <v>15</v>
      </c>
      <c r="G288" s="3">
        <v>55.9</v>
      </c>
      <c r="H288" s="3">
        <v>335.4</v>
      </c>
      <c r="I288" s="3" t="s">
        <v>84</v>
      </c>
      <c r="J288" s="3" t="s">
        <v>85</v>
      </c>
      <c r="K288" s="3" t="s">
        <v>86</v>
      </c>
    </row>
    <row r="289" spans="1:11" ht="15.6" x14ac:dyDescent="0.3">
      <c r="A289" s="5"/>
      <c r="B289" s="1">
        <v>1222</v>
      </c>
      <c r="C289" s="2">
        <v>45585</v>
      </c>
      <c r="D289" s="1" t="s">
        <v>20</v>
      </c>
      <c r="E289" s="1">
        <v>4</v>
      </c>
      <c r="F289" s="1" t="s">
        <v>21</v>
      </c>
      <c r="G289" s="1">
        <v>7.76</v>
      </c>
      <c r="H289" s="1">
        <v>31.04</v>
      </c>
      <c r="I289" s="1" t="s">
        <v>84</v>
      </c>
      <c r="J289" s="1" t="s">
        <v>85</v>
      </c>
      <c r="K289" s="1" t="s">
        <v>86</v>
      </c>
    </row>
    <row r="290" spans="1:11" ht="15.6" x14ac:dyDescent="0.3">
      <c r="A290" s="5"/>
      <c r="B290" s="3">
        <v>1155</v>
      </c>
      <c r="C290" s="4">
        <v>45586</v>
      </c>
      <c r="D290" s="3" t="s">
        <v>20</v>
      </c>
      <c r="E290" s="3">
        <v>4</v>
      </c>
      <c r="F290" s="3" t="s">
        <v>18</v>
      </c>
      <c r="G290" s="3">
        <v>7.66</v>
      </c>
      <c r="H290" s="3">
        <v>30.64</v>
      </c>
      <c r="I290" s="3" t="s">
        <v>84</v>
      </c>
      <c r="J290" s="3" t="s">
        <v>85</v>
      </c>
      <c r="K290" s="3" t="s">
        <v>86</v>
      </c>
    </row>
    <row r="291" spans="1:11" ht="15.6" x14ac:dyDescent="0.3">
      <c r="A291" s="5"/>
      <c r="B291" s="1">
        <v>1379</v>
      </c>
      <c r="C291" s="2">
        <v>45589</v>
      </c>
      <c r="D291" s="1" t="s">
        <v>17</v>
      </c>
      <c r="E291" s="1">
        <v>7</v>
      </c>
      <c r="F291" s="1" t="s">
        <v>18</v>
      </c>
      <c r="G291" s="1">
        <v>18.86</v>
      </c>
      <c r="H291" s="1">
        <v>132.02000000000001</v>
      </c>
      <c r="I291" s="1" t="s">
        <v>84</v>
      </c>
      <c r="J291" s="1" t="s">
        <v>85</v>
      </c>
      <c r="K291" s="1" t="s">
        <v>86</v>
      </c>
    </row>
    <row r="292" spans="1:11" ht="15.6" x14ac:dyDescent="0.3">
      <c r="A292" s="5"/>
      <c r="B292" s="3">
        <v>1127</v>
      </c>
      <c r="C292" s="4">
        <v>45590</v>
      </c>
      <c r="D292" s="3" t="s">
        <v>23</v>
      </c>
      <c r="E292" s="3">
        <v>6</v>
      </c>
      <c r="F292" s="3" t="s">
        <v>10</v>
      </c>
      <c r="G292" s="3">
        <v>15.18</v>
      </c>
      <c r="H292" s="3">
        <v>91.09</v>
      </c>
      <c r="I292" s="3" t="s">
        <v>84</v>
      </c>
      <c r="J292" s="3" t="s">
        <v>85</v>
      </c>
      <c r="K292" s="3" t="s">
        <v>86</v>
      </c>
    </row>
    <row r="293" spans="1:11" ht="15.6" x14ac:dyDescent="0.3">
      <c r="A293" s="5"/>
      <c r="B293" s="1">
        <v>1467</v>
      </c>
      <c r="C293" s="2">
        <v>45594</v>
      </c>
      <c r="D293" s="1" t="s">
        <v>14</v>
      </c>
      <c r="E293" s="1">
        <v>3</v>
      </c>
      <c r="F293" s="1" t="s">
        <v>18</v>
      </c>
      <c r="G293" s="1">
        <v>22.24</v>
      </c>
      <c r="H293" s="1">
        <v>66.73</v>
      </c>
      <c r="I293" s="1" t="s">
        <v>84</v>
      </c>
      <c r="J293" s="1" t="s">
        <v>85</v>
      </c>
      <c r="K293" s="1" t="s">
        <v>86</v>
      </c>
    </row>
    <row r="294" spans="1:11" ht="15.6" x14ac:dyDescent="0.3">
      <c r="A294" s="5"/>
      <c r="B294" s="3">
        <v>1451</v>
      </c>
      <c r="C294" s="4">
        <v>45598</v>
      </c>
      <c r="D294" s="3" t="s">
        <v>9</v>
      </c>
      <c r="E294" s="3">
        <v>4</v>
      </c>
      <c r="F294" s="3" t="s">
        <v>18</v>
      </c>
      <c r="G294" s="3">
        <v>69.5</v>
      </c>
      <c r="H294" s="3">
        <v>278.01</v>
      </c>
      <c r="I294" s="3" t="s">
        <v>87</v>
      </c>
      <c r="J294" s="3" t="s">
        <v>88</v>
      </c>
      <c r="K294" s="3" t="s">
        <v>89</v>
      </c>
    </row>
    <row r="295" spans="1:11" ht="15.6" x14ac:dyDescent="0.3">
      <c r="A295" s="5"/>
      <c r="B295" s="1">
        <v>1371</v>
      </c>
      <c r="C295" s="2">
        <v>45602</v>
      </c>
      <c r="D295" s="1" t="s">
        <v>14</v>
      </c>
      <c r="E295" s="1">
        <v>4</v>
      </c>
      <c r="F295" s="1" t="s">
        <v>10</v>
      </c>
      <c r="G295" s="1">
        <v>20.7</v>
      </c>
      <c r="H295" s="1">
        <v>82.79</v>
      </c>
      <c r="I295" s="1" t="s">
        <v>87</v>
      </c>
      <c r="J295" s="1" t="s">
        <v>88</v>
      </c>
      <c r="K295" s="1" t="s">
        <v>89</v>
      </c>
    </row>
    <row r="296" spans="1:11" ht="15.6" x14ac:dyDescent="0.3">
      <c r="A296" s="5"/>
      <c r="B296" s="3">
        <v>1470</v>
      </c>
      <c r="C296" s="4">
        <v>45602</v>
      </c>
      <c r="D296" s="3" t="s">
        <v>23</v>
      </c>
      <c r="E296" s="3">
        <v>5</v>
      </c>
      <c r="F296" s="3" t="s">
        <v>15</v>
      </c>
      <c r="G296" s="3">
        <v>15.97</v>
      </c>
      <c r="H296" s="3">
        <v>79.84</v>
      </c>
      <c r="I296" s="3" t="s">
        <v>87</v>
      </c>
      <c r="J296" s="3" t="s">
        <v>88</v>
      </c>
      <c r="K296" s="3" t="s">
        <v>89</v>
      </c>
    </row>
    <row r="297" spans="1:11" ht="15.6" x14ac:dyDescent="0.3">
      <c r="A297" s="5"/>
      <c r="B297" s="1">
        <v>1277</v>
      </c>
      <c r="C297" s="2">
        <v>45608</v>
      </c>
      <c r="D297" s="1" t="s">
        <v>20</v>
      </c>
      <c r="E297" s="1">
        <v>3</v>
      </c>
      <c r="F297" s="1" t="s">
        <v>10</v>
      </c>
      <c r="G297" s="1">
        <v>7.6</v>
      </c>
      <c r="H297" s="1">
        <v>22.8</v>
      </c>
      <c r="I297" s="1" t="s">
        <v>87</v>
      </c>
      <c r="J297" s="1" t="s">
        <v>88</v>
      </c>
      <c r="K297" s="1" t="s">
        <v>89</v>
      </c>
    </row>
    <row r="298" spans="1:11" ht="15.6" x14ac:dyDescent="0.3">
      <c r="A298" s="5"/>
      <c r="B298" s="3">
        <v>1114</v>
      </c>
      <c r="C298" s="4">
        <v>45608</v>
      </c>
      <c r="D298" s="3" t="s">
        <v>19</v>
      </c>
      <c r="E298" s="3">
        <v>4</v>
      </c>
      <c r="F298" s="3" t="s">
        <v>21</v>
      </c>
      <c r="G298" s="3">
        <v>33.380000000000003</v>
      </c>
      <c r="H298" s="3">
        <v>133.5</v>
      </c>
      <c r="I298" s="3" t="s">
        <v>87</v>
      </c>
      <c r="J298" s="3" t="s">
        <v>88</v>
      </c>
      <c r="K298" s="3" t="s">
        <v>89</v>
      </c>
    </row>
    <row r="299" spans="1:11" ht="15.6" x14ac:dyDescent="0.3">
      <c r="A299" s="5"/>
      <c r="B299" s="1">
        <v>1126</v>
      </c>
      <c r="C299" s="2">
        <v>45610</v>
      </c>
      <c r="D299" s="1" t="s">
        <v>22</v>
      </c>
      <c r="E299" s="1">
        <v>5</v>
      </c>
      <c r="F299" s="1" t="s">
        <v>15</v>
      </c>
      <c r="G299" s="1">
        <v>12.26</v>
      </c>
      <c r="H299" s="1">
        <v>61.29</v>
      </c>
      <c r="I299" s="1" t="s">
        <v>87</v>
      </c>
      <c r="J299" s="1" t="s">
        <v>88</v>
      </c>
      <c r="K299" s="1" t="s">
        <v>89</v>
      </c>
    </row>
    <row r="300" spans="1:11" ht="15.6" x14ac:dyDescent="0.3">
      <c r="A300" s="5"/>
      <c r="B300" s="3">
        <v>1089</v>
      </c>
      <c r="C300" s="4">
        <v>45610</v>
      </c>
      <c r="D300" s="3" t="s">
        <v>14</v>
      </c>
      <c r="E300" s="3">
        <v>5</v>
      </c>
      <c r="F300" s="3" t="s">
        <v>21</v>
      </c>
      <c r="G300" s="3">
        <v>22.13</v>
      </c>
      <c r="H300" s="3">
        <v>110.64</v>
      </c>
      <c r="I300" s="3" t="s">
        <v>87</v>
      </c>
      <c r="J300" s="3" t="s">
        <v>88</v>
      </c>
      <c r="K300" s="3" t="s">
        <v>89</v>
      </c>
    </row>
    <row r="301" spans="1:11" ht="15.6" x14ac:dyDescent="0.3">
      <c r="A301" s="5"/>
      <c r="B301" s="1">
        <v>1450</v>
      </c>
      <c r="C301" s="2">
        <v>45611</v>
      </c>
      <c r="D301" s="1" t="s">
        <v>28</v>
      </c>
      <c r="E301" s="1">
        <v>3</v>
      </c>
      <c r="F301" s="1" t="s">
        <v>10</v>
      </c>
      <c r="G301" s="1">
        <v>41.89</v>
      </c>
      <c r="H301" s="1">
        <v>125.68</v>
      </c>
      <c r="I301" s="1" t="s">
        <v>87</v>
      </c>
      <c r="J301" s="1" t="s">
        <v>88</v>
      </c>
      <c r="K301" s="1" t="s">
        <v>89</v>
      </c>
    </row>
    <row r="302" spans="1:11" ht="15.6" x14ac:dyDescent="0.3">
      <c r="A302" s="5"/>
      <c r="B302" s="3">
        <v>1260</v>
      </c>
      <c r="C302" s="4">
        <v>45611</v>
      </c>
      <c r="D302" s="3" t="s">
        <v>20</v>
      </c>
      <c r="E302" s="3">
        <v>6</v>
      </c>
      <c r="F302" s="3" t="s">
        <v>15</v>
      </c>
      <c r="G302" s="3">
        <v>8.33</v>
      </c>
      <c r="H302" s="3">
        <v>49.98</v>
      </c>
      <c r="I302" s="3" t="s">
        <v>87</v>
      </c>
      <c r="J302" s="3" t="s">
        <v>88</v>
      </c>
      <c r="K302" s="3" t="s">
        <v>89</v>
      </c>
    </row>
    <row r="303" spans="1:11" ht="15.6" x14ac:dyDescent="0.3">
      <c r="A303" s="5"/>
      <c r="B303" s="1">
        <v>1244</v>
      </c>
      <c r="C303" s="2">
        <v>45612</v>
      </c>
      <c r="D303" s="1" t="s">
        <v>17</v>
      </c>
      <c r="E303" s="1">
        <v>3</v>
      </c>
      <c r="F303" s="1" t="s">
        <v>21</v>
      </c>
      <c r="G303" s="1">
        <v>17.98</v>
      </c>
      <c r="H303" s="1">
        <v>53.93</v>
      </c>
      <c r="I303" s="1" t="s">
        <v>87</v>
      </c>
      <c r="J303" s="1" t="s">
        <v>88</v>
      </c>
      <c r="K303" s="1" t="s">
        <v>89</v>
      </c>
    </row>
    <row r="304" spans="1:11" ht="15.6" x14ac:dyDescent="0.3">
      <c r="A304" s="5"/>
      <c r="B304" s="3">
        <v>1024</v>
      </c>
      <c r="C304" s="4">
        <v>45613</v>
      </c>
      <c r="D304" s="3" t="s">
        <v>19</v>
      </c>
      <c r="E304" s="3">
        <v>3</v>
      </c>
      <c r="F304" s="3" t="s">
        <v>18</v>
      </c>
      <c r="G304" s="3">
        <v>31.19</v>
      </c>
      <c r="H304" s="3">
        <v>93.57</v>
      </c>
      <c r="I304" s="3" t="s">
        <v>87</v>
      </c>
      <c r="J304" s="3" t="s">
        <v>88</v>
      </c>
      <c r="K304" s="3" t="s">
        <v>89</v>
      </c>
    </row>
    <row r="305" spans="1:11" ht="15.6" x14ac:dyDescent="0.3">
      <c r="A305" s="5"/>
      <c r="B305" s="1">
        <v>1204</v>
      </c>
      <c r="C305" s="2">
        <v>45614</v>
      </c>
      <c r="D305" s="1" t="s">
        <v>20</v>
      </c>
      <c r="E305" s="1">
        <v>5</v>
      </c>
      <c r="F305" s="1" t="s">
        <v>21</v>
      </c>
      <c r="G305" s="1">
        <v>8.5</v>
      </c>
      <c r="H305" s="1">
        <v>42.5</v>
      </c>
      <c r="I305" s="1" t="s">
        <v>87</v>
      </c>
      <c r="J305" s="1" t="s">
        <v>88</v>
      </c>
      <c r="K305" s="1" t="s">
        <v>89</v>
      </c>
    </row>
    <row r="306" spans="1:11" ht="15.6" x14ac:dyDescent="0.3">
      <c r="A306" s="5"/>
      <c r="B306" s="3">
        <v>1346</v>
      </c>
      <c r="C306" s="4">
        <v>45616</v>
      </c>
      <c r="D306" s="3" t="s">
        <v>14</v>
      </c>
      <c r="E306" s="3">
        <v>3</v>
      </c>
      <c r="F306" s="3" t="s">
        <v>18</v>
      </c>
      <c r="G306" s="3">
        <v>21.59</v>
      </c>
      <c r="H306" s="3">
        <v>64.760000000000005</v>
      </c>
      <c r="I306" s="3" t="s">
        <v>87</v>
      </c>
      <c r="J306" s="3" t="s">
        <v>88</v>
      </c>
      <c r="K306" s="3" t="s">
        <v>89</v>
      </c>
    </row>
    <row r="307" spans="1:11" ht="15.6" x14ac:dyDescent="0.3">
      <c r="A307" s="5"/>
      <c r="B307" s="1">
        <v>1349</v>
      </c>
      <c r="C307" s="2">
        <v>45617</v>
      </c>
      <c r="D307" s="1" t="s">
        <v>14</v>
      </c>
      <c r="E307" s="1">
        <v>6</v>
      </c>
      <c r="F307" s="1" t="s">
        <v>15</v>
      </c>
      <c r="G307" s="1">
        <v>23.66</v>
      </c>
      <c r="H307" s="1">
        <v>141.94</v>
      </c>
      <c r="I307" s="1" t="s">
        <v>87</v>
      </c>
      <c r="J307" s="1" t="s">
        <v>88</v>
      </c>
      <c r="K307" s="1" t="s">
        <v>89</v>
      </c>
    </row>
    <row r="308" spans="1:11" ht="15.6" x14ac:dyDescent="0.3">
      <c r="A308" s="5"/>
      <c r="B308" s="3">
        <v>1318</v>
      </c>
      <c r="C308" s="4">
        <v>45623</v>
      </c>
      <c r="D308" s="3" t="s">
        <v>14</v>
      </c>
      <c r="E308" s="3">
        <v>2</v>
      </c>
      <c r="F308" s="3" t="s">
        <v>10</v>
      </c>
      <c r="G308" s="3">
        <v>21.55</v>
      </c>
      <c r="H308" s="3">
        <v>43.11</v>
      </c>
      <c r="I308" s="3" t="s">
        <v>87</v>
      </c>
      <c r="J308" s="3" t="s">
        <v>88</v>
      </c>
      <c r="K308" s="3" t="s">
        <v>89</v>
      </c>
    </row>
    <row r="309" spans="1:11" ht="15.6" x14ac:dyDescent="0.3">
      <c r="A309" s="5"/>
      <c r="B309" s="1">
        <v>1472</v>
      </c>
      <c r="C309" s="2">
        <v>45624</v>
      </c>
      <c r="D309" s="1" t="s">
        <v>23</v>
      </c>
      <c r="E309" s="1">
        <v>4</v>
      </c>
      <c r="F309" s="1" t="s">
        <v>10</v>
      </c>
      <c r="G309" s="1">
        <v>15.04</v>
      </c>
      <c r="H309" s="1">
        <v>60.16</v>
      </c>
      <c r="I309" s="1" t="s">
        <v>87</v>
      </c>
      <c r="J309" s="1" t="s">
        <v>88</v>
      </c>
      <c r="K309" s="1" t="s">
        <v>89</v>
      </c>
    </row>
    <row r="310" spans="1:11" ht="15.6" x14ac:dyDescent="0.3">
      <c r="A310" s="5"/>
      <c r="B310" s="3">
        <v>1389</v>
      </c>
      <c r="C310" s="4">
        <v>45625</v>
      </c>
      <c r="D310" s="3" t="s">
        <v>16</v>
      </c>
      <c r="E310" s="3">
        <v>3</v>
      </c>
      <c r="F310" s="3" t="s">
        <v>18</v>
      </c>
      <c r="G310" s="3">
        <v>25.18</v>
      </c>
      <c r="H310" s="3">
        <v>75.540000000000006</v>
      </c>
      <c r="I310" s="3" t="s">
        <v>87</v>
      </c>
      <c r="J310" s="3" t="s">
        <v>88</v>
      </c>
      <c r="K310" s="3" t="s">
        <v>89</v>
      </c>
    </row>
    <row r="311" spans="1:11" ht="15.6" x14ac:dyDescent="0.3">
      <c r="A311" s="5"/>
      <c r="B311" s="1">
        <v>1131</v>
      </c>
      <c r="C311" s="2">
        <v>45625</v>
      </c>
      <c r="D311" s="1" t="s">
        <v>28</v>
      </c>
      <c r="E311" s="1">
        <v>1</v>
      </c>
      <c r="F311" s="1" t="s">
        <v>15</v>
      </c>
      <c r="G311" s="1">
        <v>39.42</v>
      </c>
      <c r="H311" s="1">
        <v>39.42</v>
      </c>
      <c r="I311" s="1" t="s">
        <v>87</v>
      </c>
      <c r="J311" s="1" t="s">
        <v>88</v>
      </c>
      <c r="K311" s="1" t="s">
        <v>89</v>
      </c>
    </row>
    <row r="312" spans="1:11" ht="15.6" x14ac:dyDescent="0.3">
      <c r="A312" s="5"/>
      <c r="B312" s="3">
        <v>1020</v>
      </c>
      <c r="C312" s="4">
        <v>45626</v>
      </c>
      <c r="D312" s="3" t="s">
        <v>16</v>
      </c>
      <c r="E312" s="3">
        <v>2</v>
      </c>
      <c r="F312" s="3" t="s">
        <v>15</v>
      </c>
      <c r="G312" s="3">
        <v>26.08</v>
      </c>
      <c r="H312" s="3">
        <v>52.17</v>
      </c>
      <c r="I312" s="3" t="s">
        <v>87</v>
      </c>
      <c r="J312" s="3" t="s">
        <v>88</v>
      </c>
      <c r="K312" s="3" t="s">
        <v>89</v>
      </c>
    </row>
    <row r="313" spans="1:11" ht="15.6" x14ac:dyDescent="0.3">
      <c r="A313" s="5"/>
      <c r="B313" s="1">
        <v>1234</v>
      </c>
      <c r="C313" s="2">
        <v>45626</v>
      </c>
      <c r="D313" s="1" t="s">
        <v>9</v>
      </c>
      <c r="E313" s="1">
        <v>5</v>
      </c>
      <c r="F313" s="1" t="s">
        <v>18</v>
      </c>
      <c r="G313" s="1">
        <v>66.06</v>
      </c>
      <c r="H313" s="1">
        <v>330.28</v>
      </c>
      <c r="I313" s="1" t="s">
        <v>87</v>
      </c>
      <c r="J313" s="1" t="s">
        <v>88</v>
      </c>
      <c r="K313" s="1" t="s">
        <v>89</v>
      </c>
    </row>
    <row r="314" spans="1:11" ht="15.6" x14ac:dyDescent="0.3">
      <c r="A314" s="5"/>
      <c r="B314" s="3">
        <v>1049</v>
      </c>
      <c r="C314" s="4">
        <v>45629</v>
      </c>
      <c r="D314" s="3" t="s">
        <v>14</v>
      </c>
      <c r="E314" s="3">
        <v>3</v>
      </c>
      <c r="F314" s="3" t="s">
        <v>18</v>
      </c>
      <c r="G314" s="3">
        <v>21.52</v>
      </c>
      <c r="H314" s="3">
        <v>64.55</v>
      </c>
      <c r="I314" s="3" t="s">
        <v>90</v>
      </c>
      <c r="J314" s="3" t="s">
        <v>91</v>
      </c>
      <c r="K314" s="3" t="s">
        <v>92</v>
      </c>
    </row>
    <row r="315" spans="1:11" ht="15.6" x14ac:dyDescent="0.3">
      <c r="A315" s="5"/>
      <c r="B315" s="1">
        <v>1311</v>
      </c>
      <c r="C315" s="2">
        <v>45630</v>
      </c>
      <c r="D315" s="1" t="s">
        <v>17</v>
      </c>
      <c r="E315" s="1">
        <v>2</v>
      </c>
      <c r="F315" s="1" t="s">
        <v>15</v>
      </c>
      <c r="G315" s="1">
        <v>18.27</v>
      </c>
      <c r="H315" s="1">
        <v>36.54</v>
      </c>
      <c r="I315" s="1" t="s">
        <v>90</v>
      </c>
      <c r="J315" s="1" t="s">
        <v>91</v>
      </c>
      <c r="K315" s="1" t="s">
        <v>92</v>
      </c>
    </row>
    <row r="316" spans="1:11" ht="15.6" x14ac:dyDescent="0.3">
      <c r="A316" s="5"/>
      <c r="B316" s="3">
        <v>1489</v>
      </c>
      <c r="C316" s="4">
        <v>45635</v>
      </c>
      <c r="D316" s="3" t="s">
        <v>24</v>
      </c>
      <c r="E316" s="3">
        <v>3</v>
      </c>
      <c r="F316" s="3" t="s">
        <v>18</v>
      </c>
      <c r="G316" s="3">
        <v>59.85</v>
      </c>
      <c r="H316" s="3">
        <v>179.55</v>
      </c>
      <c r="I316" s="3" t="s">
        <v>90</v>
      </c>
      <c r="J316" s="3" t="s">
        <v>91</v>
      </c>
      <c r="K316" s="3" t="s">
        <v>92</v>
      </c>
    </row>
    <row r="317" spans="1:11" ht="15.6" x14ac:dyDescent="0.3">
      <c r="A317" s="5"/>
      <c r="B317" s="1">
        <v>1123</v>
      </c>
      <c r="C317" s="2">
        <v>45636</v>
      </c>
      <c r="D317" s="1" t="s">
        <v>22</v>
      </c>
      <c r="E317" s="1">
        <v>3</v>
      </c>
      <c r="F317" s="1" t="s">
        <v>18</v>
      </c>
      <c r="G317" s="1">
        <v>11.56</v>
      </c>
      <c r="H317" s="1">
        <v>34.67</v>
      </c>
      <c r="I317" s="1" t="s">
        <v>90</v>
      </c>
      <c r="J317" s="1" t="s">
        <v>91</v>
      </c>
      <c r="K317" s="1" t="s">
        <v>92</v>
      </c>
    </row>
    <row r="318" spans="1:11" ht="15.6" x14ac:dyDescent="0.3">
      <c r="A318" s="5"/>
      <c r="B318" s="3">
        <v>1431</v>
      </c>
      <c r="C318" s="4">
        <v>45640</v>
      </c>
      <c r="D318" s="3" t="s">
        <v>22</v>
      </c>
      <c r="E318" s="3">
        <v>4</v>
      </c>
      <c r="F318" s="3" t="s">
        <v>21</v>
      </c>
      <c r="G318" s="3">
        <v>12.11</v>
      </c>
      <c r="H318" s="3">
        <v>48.44</v>
      </c>
      <c r="I318" s="3" t="s">
        <v>90</v>
      </c>
      <c r="J318" s="3" t="s">
        <v>91</v>
      </c>
      <c r="K318" s="3" t="s">
        <v>92</v>
      </c>
    </row>
    <row r="319" spans="1:11" ht="15.6" x14ac:dyDescent="0.3">
      <c r="A319" s="5"/>
      <c r="B319" s="1">
        <v>1396</v>
      </c>
      <c r="C319" s="2">
        <v>45644</v>
      </c>
      <c r="D319" s="1" t="s">
        <v>16</v>
      </c>
      <c r="E319" s="1">
        <v>5</v>
      </c>
      <c r="F319" s="1" t="s">
        <v>10</v>
      </c>
      <c r="G319" s="1">
        <v>24.49</v>
      </c>
      <c r="H319" s="1">
        <v>122.46</v>
      </c>
      <c r="I319" s="1" t="s">
        <v>90</v>
      </c>
      <c r="J319" s="1" t="s">
        <v>91</v>
      </c>
      <c r="K319" s="1" t="s">
        <v>92</v>
      </c>
    </row>
    <row r="320" spans="1:11" ht="15.6" x14ac:dyDescent="0.3">
      <c r="A320" s="5"/>
      <c r="B320" s="3">
        <v>1060</v>
      </c>
      <c r="C320" s="4">
        <v>45646</v>
      </c>
      <c r="D320" s="3" t="s">
        <v>23</v>
      </c>
      <c r="E320" s="3">
        <v>3</v>
      </c>
      <c r="F320" s="3" t="s">
        <v>15</v>
      </c>
      <c r="G320" s="3">
        <v>16.010000000000002</v>
      </c>
      <c r="H320" s="3">
        <v>48.04</v>
      </c>
      <c r="I320" s="3" t="s">
        <v>90</v>
      </c>
      <c r="J320" s="3" t="s">
        <v>91</v>
      </c>
      <c r="K320" s="3" t="s">
        <v>92</v>
      </c>
    </row>
    <row r="321" spans="1:11" ht="15.6" x14ac:dyDescent="0.3">
      <c r="A321" s="5"/>
      <c r="B321" s="1">
        <v>1090</v>
      </c>
      <c r="C321" s="2">
        <v>45652</v>
      </c>
      <c r="D321" s="1" t="s">
        <v>28</v>
      </c>
      <c r="E321" s="1">
        <v>3</v>
      </c>
      <c r="F321" s="1" t="s">
        <v>10</v>
      </c>
      <c r="G321" s="1">
        <v>44.56</v>
      </c>
      <c r="H321" s="1">
        <v>133.68</v>
      </c>
      <c r="I321" s="1" t="s">
        <v>90</v>
      </c>
      <c r="J321" s="1" t="s">
        <v>91</v>
      </c>
      <c r="K321" s="1" t="s">
        <v>92</v>
      </c>
    </row>
    <row r="322" spans="1:11" ht="15.6" x14ac:dyDescent="0.3">
      <c r="A322" s="5"/>
      <c r="B322" s="3">
        <v>1269</v>
      </c>
      <c r="C322" s="4">
        <v>45653</v>
      </c>
      <c r="D322" s="3" t="s">
        <v>20</v>
      </c>
      <c r="E322" s="3">
        <v>5</v>
      </c>
      <c r="F322" s="3" t="s">
        <v>21</v>
      </c>
      <c r="G322" s="3">
        <v>8.34</v>
      </c>
      <c r="H322" s="3">
        <v>41.7</v>
      </c>
      <c r="I322" s="3" t="s">
        <v>90</v>
      </c>
      <c r="J322" s="3" t="s">
        <v>91</v>
      </c>
      <c r="K322" s="3" t="s">
        <v>92</v>
      </c>
    </row>
    <row r="323" spans="1:11" ht="15.6" x14ac:dyDescent="0.3">
      <c r="A323" s="5"/>
      <c r="B323" s="1">
        <v>1356</v>
      </c>
      <c r="C323" s="2">
        <v>45653</v>
      </c>
      <c r="D323" s="1" t="s">
        <v>17</v>
      </c>
      <c r="E323" s="1">
        <v>3</v>
      </c>
      <c r="F323" s="1" t="s">
        <v>15</v>
      </c>
      <c r="G323" s="1">
        <v>17.75</v>
      </c>
      <c r="H323" s="1">
        <v>53.26</v>
      </c>
      <c r="I323" s="1" t="s">
        <v>90</v>
      </c>
      <c r="J323" s="1" t="s">
        <v>91</v>
      </c>
      <c r="K323" s="1" t="s">
        <v>92</v>
      </c>
    </row>
    <row r="324" spans="1:11" ht="15.6" x14ac:dyDescent="0.3">
      <c r="A324" s="5"/>
      <c r="B324" s="3">
        <v>1368</v>
      </c>
      <c r="C324" s="4">
        <v>45655</v>
      </c>
      <c r="D324" s="3" t="s">
        <v>14</v>
      </c>
      <c r="E324" s="3">
        <v>6</v>
      </c>
      <c r="F324" s="3" t="s">
        <v>21</v>
      </c>
      <c r="G324" s="3">
        <v>22.72</v>
      </c>
      <c r="H324" s="3">
        <v>136.33000000000001</v>
      </c>
      <c r="I324" s="3" t="s">
        <v>90</v>
      </c>
      <c r="J324" s="3" t="s">
        <v>91</v>
      </c>
      <c r="K324" s="3" t="s">
        <v>92</v>
      </c>
    </row>
    <row r="325" spans="1:11" ht="15.6" x14ac:dyDescent="0.3">
      <c r="A325" s="5"/>
      <c r="B325" s="1">
        <v>1387</v>
      </c>
      <c r="C325" s="2">
        <v>45655</v>
      </c>
      <c r="D325" s="1" t="s">
        <v>17</v>
      </c>
      <c r="E325" s="1">
        <v>2</v>
      </c>
      <c r="F325" s="1" t="s">
        <v>10</v>
      </c>
      <c r="G325" s="1">
        <v>17.68</v>
      </c>
      <c r="H325" s="1">
        <v>35.36</v>
      </c>
      <c r="I325" s="1" t="s">
        <v>90</v>
      </c>
      <c r="J325" s="1" t="s">
        <v>91</v>
      </c>
      <c r="K325" s="1" t="s">
        <v>92</v>
      </c>
    </row>
    <row r="326" spans="1:11" ht="15.6" x14ac:dyDescent="0.3">
      <c r="A326" s="5"/>
      <c r="B326" s="3">
        <v>1138</v>
      </c>
      <c r="C326" s="4">
        <v>45656</v>
      </c>
      <c r="D326" s="3" t="s">
        <v>19</v>
      </c>
      <c r="E326" s="3">
        <v>3</v>
      </c>
      <c r="F326" s="3" t="s">
        <v>15</v>
      </c>
      <c r="G326" s="3">
        <v>35.11</v>
      </c>
      <c r="H326" s="3">
        <v>105.33</v>
      </c>
      <c r="I326" s="3" t="s">
        <v>90</v>
      </c>
      <c r="J326" s="3" t="s">
        <v>91</v>
      </c>
      <c r="K326" s="3" t="s">
        <v>92</v>
      </c>
    </row>
    <row r="327" spans="1:11" ht="15.6" x14ac:dyDescent="0.3">
      <c r="A327" s="5"/>
      <c r="B327" s="1">
        <v>1051</v>
      </c>
      <c r="C327" s="2">
        <v>45656</v>
      </c>
      <c r="D327" s="1" t="s">
        <v>22</v>
      </c>
      <c r="E327" s="1">
        <v>2</v>
      </c>
      <c r="F327" s="1" t="s">
        <v>18</v>
      </c>
      <c r="G327" s="1">
        <v>12.4</v>
      </c>
      <c r="H327" s="1">
        <v>24.81</v>
      </c>
      <c r="I327" s="1" t="s">
        <v>90</v>
      </c>
      <c r="J327" s="1" t="s">
        <v>91</v>
      </c>
      <c r="K327" s="1" t="s">
        <v>92</v>
      </c>
    </row>
    <row r="328" spans="1:11" ht="15.6" x14ac:dyDescent="0.3">
      <c r="A328" s="5"/>
      <c r="B328" s="3">
        <v>1474</v>
      </c>
      <c r="C328" s="4">
        <v>45658</v>
      </c>
      <c r="D328" s="3" t="s">
        <v>22</v>
      </c>
      <c r="E328" s="3">
        <v>4</v>
      </c>
      <c r="F328" s="3" t="s">
        <v>21</v>
      </c>
      <c r="G328" s="3">
        <v>12.11</v>
      </c>
      <c r="H328" s="3">
        <v>48.45</v>
      </c>
      <c r="I328" s="3" t="s">
        <v>93</v>
      </c>
      <c r="J328" s="3" t="s">
        <v>94</v>
      </c>
      <c r="K328" s="3" t="s">
        <v>95</v>
      </c>
    </row>
    <row r="329" spans="1:11" ht="15.6" x14ac:dyDescent="0.3">
      <c r="A329" s="5"/>
      <c r="B329" s="1">
        <v>1482</v>
      </c>
      <c r="C329" s="2">
        <v>45658</v>
      </c>
      <c r="D329" s="1" t="s">
        <v>24</v>
      </c>
      <c r="E329" s="1">
        <v>4</v>
      </c>
      <c r="F329" s="1" t="s">
        <v>10</v>
      </c>
      <c r="G329" s="1">
        <v>54.92</v>
      </c>
      <c r="H329" s="1">
        <v>219.7</v>
      </c>
      <c r="I329" s="1" t="s">
        <v>93</v>
      </c>
      <c r="J329" s="1" t="s">
        <v>94</v>
      </c>
      <c r="K329" s="1" t="s">
        <v>95</v>
      </c>
    </row>
    <row r="330" spans="1:11" ht="15.6" x14ac:dyDescent="0.3">
      <c r="A330" s="5"/>
      <c r="B330" s="3">
        <v>1409</v>
      </c>
      <c r="C330" s="4">
        <v>45659</v>
      </c>
      <c r="D330" s="3" t="s">
        <v>9</v>
      </c>
      <c r="E330" s="3">
        <v>3</v>
      </c>
      <c r="F330" s="3" t="s">
        <v>18</v>
      </c>
      <c r="G330" s="3">
        <v>64.900000000000006</v>
      </c>
      <c r="H330" s="3">
        <v>194.71</v>
      </c>
      <c r="I330" s="3" t="s">
        <v>93</v>
      </c>
      <c r="J330" s="3" t="s">
        <v>94</v>
      </c>
      <c r="K330" s="3" t="s">
        <v>95</v>
      </c>
    </row>
    <row r="331" spans="1:11" ht="15.6" x14ac:dyDescent="0.3">
      <c r="A331" s="5"/>
      <c r="B331" s="1">
        <v>1397</v>
      </c>
      <c r="C331" s="2">
        <v>45661</v>
      </c>
      <c r="D331" s="1" t="s">
        <v>16</v>
      </c>
      <c r="E331" s="1">
        <v>5</v>
      </c>
      <c r="F331" s="1" t="s">
        <v>21</v>
      </c>
      <c r="G331" s="1">
        <v>23.27</v>
      </c>
      <c r="H331" s="1">
        <v>116.36</v>
      </c>
      <c r="I331" s="1" t="s">
        <v>93</v>
      </c>
      <c r="J331" s="1" t="s">
        <v>94</v>
      </c>
      <c r="K331" s="1" t="s">
        <v>95</v>
      </c>
    </row>
    <row r="332" spans="1:11" ht="15.6" x14ac:dyDescent="0.3">
      <c r="A332" s="5"/>
      <c r="B332" s="3">
        <v>1462</v>
      </c>
      <c r="C332" s="4">
        <v>45662</v>
      </c>
      <c r="D332" s="3" t="s">
        <v>14</v>
      </c>
      <c r="E332" s="3">
        <v>2</v>
      </c>
      <c r="F332" s="3" t="s">
        <v>10</v>
      </c>
      <c r="G332" s="3">
        <v>22.15</v>
      </c>
      <c r="H332" s="3">
        <v>44.29</v>
      </c>
      <c r="I332" s="3" t="s">
        <v>93</v>
      </c>
      <c r="J332" s="3" t="s">
        <v>94</v>
      </c>
      <c r="K332" s="3" t="s">
        <v>95</v>
      </c>
    </row>
    <row r="333" spans="1:11" ht="15.6" x14ac:dyDescent="0.3">
      <c r="A333" s="5"/>
      <c r="B333" s="1">
        <v>1375</v>
      </c>
      <c r="C333" s="2">
        <v>45665</v>
      </c>
      <c r="D333" s="1" t="s">
        <v>14</v>
      </c>
      <c r="E333" s="1">
        <v>2</v>
      </c>
      <c r="F333" s="1" t="s">
        <v>21</v>
      </c>
      <c r="G333" s="1">
        <v>23.79</v>
      </c>
      <c r="H333" s="1">
        <v>47.58</v>
      </c>
      <c r="I333" s="1" t="s">
        <v>93</v>
      </c>
      <c r="J333" s="1" t="s">
        <v>94</v>
      </c>
      <c r="K333" s="1" t="s">
        <v>95</v>
      </c>
    </row>
    <row r="334" spans="1:11" ht="15.6" x14ac:dyDescent="0.3">
      <c r="A334" s="5"/>
      <c r="B334" s="3">
        <v>1477</v>
      </c>
      <c r="C334" s="4">
        <v>45666</v>
      </c>
      <c r="D334" s="3" t="s">
        <v>28</v>
      </c>
      <c r="E334" s="3">
        <v>1</v>
      </c>
      <c r="F334" s="3" t="s">
        <v>21</v>
      </c>
      <c r="G334" s="3">
        <v>44.05</v>
      </c>
      <c r="H334" s="3">
        <v>44.05</v>
      </c>
      <c r="I334" s="3" t="s">
        <v>93</v>
      </c>
      <c r="J334" s="3" t="s">
        <v>94</v>
      </c>
      <c r="K334" s="3" t="s">
        <v>95</v>
      </c>
    </row>
    <row r="335" spans="1:11" ht="15.6" x14ac:dyDescent="0.3">
      <c r="A335" s="5"/>
      <c r="B335" s="1">
        <v>1301</v>
      </c>
      <c r="C335" s="2">
        <v>45667</v>
      </c>
      <c r="D335" s="1" t="s">
        <v>24</v>
      </c>
      <c r="E335" s="1">
        <v>7</v>
      </c>
      <c r="F335" s="1" t="s">
        <v>21</v>
      </c>
      <c r="G335" s="1">
        <v>54.11</v>
      </c>
      <c r="H335" s="1">
        <v>378.8</v>
      </c>
      <c r="I335" s="1" t="s">
        <v>93</v>
      </c>
      <c r="J335" s="1" t="s">
        <v>94</v>
      </c>
      <c r="K335" s="1" t="s">
        <v>95</v>
      </c>
    </row>
    <row r="336" spans="1:11" ht="15.6" x14ac:dyDescent="0.3">
      <c r="A336" s="5"/>
      <c r="B336" s="3">
        <v>1104</v>
      </c>
      <c r="C336" s="4">
        <v>45669</v>
      </c>
      <c r="D336" s="3" t="s">
        <v>16</v>
      </c>
      <c r="E336" s="3">
        <v>6</v>
      </c>
      <c r="F336" s="3" t="s">
        <v>21</v>
      </c>
      <c r="G336" s="3">
        <v>25.79</v>
      </c>
      <c r="H336" s="3">
        <v>154.74</v>
      </c>
      <c r="I336" s="3" t="s">
        <v>93</v>
      </c>
      <c r="J336" s="3" t="s">
        <v>94</v>
      </c>
      <c r="K336" s="3" t="s">
        <v>95</v>
      </c>
    </row>
    <row r="337" spans="1:11" ht="15.6" x14ac:dyDescent="0.3">
      <c r="A337" s="5"/>
      <c r="B337" s="1">
        <v>1016</v>
      </c>
      <c r="C337" s="2">
        <v>45674</v>
      </c>
      <c r="D337" s="1" t="s">
        <v>24</v>
      </c>
      <c r="E337" s="1">
        <v>3</v>
      </c>
      <c r="F337" s="1" t="s">
        <v>10</v>
      </c>
      <c r="G337" s="1">
        <v>60.4</v>
      </c>
      <c r="H337" s="1">
        <v>181.21</v>
      </c>
      <c r="I337" s="1" t="s">
        <v>93</v>
      </c>
      <c r="J337" s="1" t="s">
        <v>94</v>
      </c>
      <c r="K337" s="1" t="s">
        <v>95</v>
      </c>
    </row>
    <row r="338" spans="1:11" ht="15.6" x14ac:dyDescent="0.3">
      <c r="A338" s="5"/>
      <c r="B338" s="3">
        <v>1110</v>
      </c>
      <c r="C338" s="4">
        <v>45675</v>
      </c>
      <c r="D338" s="3" t="s">
        <v>28</v>
      </c>
      <c r="E338" s="3">
        <v>2</v>
      </c>
      <c r="F338" s="3" t="s">
        <v>21</v>
      </c>
      <c r="G338" s="3">
        <v>46.24</v>
      </c>
      <c r="H338" s="3">
        <v>92.48</v>
      </c>
      <c r="I338" s="3" t="s">
        <v>93</v>
      </c>
      <c r="J338" s="3" t="s">
        <v>94</v>
      </c>
      <c r="K338" s="3" t="s">
        <v>95</v>
      </c>
    </row>
    <row r="339" spans="1:11" ht="15.6" x14ac:dyDescent="0.3">
      <c r="A339" s="5"/>
      <c r="B339" s="1">
        <v>1208</v>
      </c>
      <c r="C339" s="2">
        <v>45676</v>
      </c>
      <c r="D339" s="1" t="s">
        <v>24</v>
      </c>
      <c r="E339" s="1">
        <v>6</v>
      </c>
      <c r="F339" s="1" t="s">
        <v>10</v>
      </c>
      <c r="G339" s="1">
        <v>53.12</v>
      </c>
      <c r="H339" s="1">
        <v>318.75</v>
      </c>
      <c r="I339" s="1" t="s">
        <v>93</v>
      </c>
      <c r="J339" s="1" t="s">
        <v>94</v>
      </c>
      <c r="K339" s="1" t="s">
        <v>95</v>
      </c>
    </row>
    <row r="340" spans="1:11" ht="15.6" x14ac:dyDescent="0.3">
      <c r="A340" s="5"/>
      <c r="B340" s="3">
        <v>1412</v>
      </c>
      <c r="C340" s="4">
        <v>45677</v>
      </c>
      <c r="D340" s="3" t="s">
        <v>16</v>
      </c>
      <c r="E340" s="3">
        <v>4</v>
      </c>
      <c r="F340" s="3" t="s">
        <v>18</v>
      </c>
      <c r="G340" s="3">
        <v>25.84</v>
      </c>
      <c r="H340" s="3">
        <v>103.36</v>
      </c>
      <c r="I340" s="3" t="s">
        <v>93</v>
      </c>
      <c r="J340" s="3" t="s">
        <v>94</v>
      </c>
      <c r="K340" s="3" t="s">
        <v>95</v>
      </c>
    </row>
    <row r="341" spans="1:11" ht="15.6" x14ac:dyDescent="0.3">
      <c r="A341" s="5"/>
      <c r="B341" s="1">
        <v>1150</v>
      </c>
      <c r="C341" s="2">
        <v>45678</v>
      </c>
      <c r="D341" s="1" t="s">
        <v>22</v>
      </c>
      <c r="E341" s="1">
        <v>6</v>
      </c>
      <c r="F341" s="1" t="s">
        <v>18</v>
      </c>
      <c r="G341" s="1">
        <v>11.95</v>
      </c>
      <c r="H341" s="1">
        <v>71.7</v>
      </c>
      <c r="I341" s="1" t="s">
        <v>93</v>
      </c>
      <c r="J341" s="1" t="s">
        <v>94</v>
      </c>
      <c r="K341" s="1" t="s">
        <v>95</v>
      </c>
    </row>
    <row r="342" spans="1:11" ht="15.6" x14ac:dyDescent="0.3">
      <c r="A342" s="5"/>
      <c r="B342" s="3">
        <v>1483</v>
      </c>
      <c r="C342" s="4">
        <v>45678</v>
      </c>
      <c r="D342" s="3" t="s">
        <v>28</v>
      </c>
      <c r="E342" s="3">
        <v>5</v>
      </c>
      <c r="F342" s="3" t="s">
        <v>21</v>
      </c>
      <c r="G342" s="3">
        <v>44.4</v>
      </c>
      <c r="H342" s="3">
        <v>221.99</v>
      </c>
      <c r="I342" s="3" t="s">
        <v>93</v>
      </c>
      <c r="J342" s="3" t="s">
        <v>94</v>
      </c>
      <c r="K342" s="3" t="s">
        <v>95</v>
      </c>
    </row>
    <row r="343" spans="1:11" ht="15.6" x14ac:dyDescent="0.3">
      <c r="A343" s="5"/>
      <c r="B343" s="1">
        <v>1354</v>
      </c>
      <c r="C343" s="2">
        <v>45680</v>
      </c>
      <c r="D343" s="1" t="s">
        <v>14</v>
      </c>
      <c r="E343" s="1">
        <v>3</v>
      </c>
      <c r="F343" s="1" t="s">
        <v>18</v>
      </c>
      <c r="G343" s="1">
        <v>23.23</v>
      </c>
      <c r="H343" s="1">
        <v>69.69</v>
      </c>
      <c r="I343" s="1" t="s">
        <v>93</v>
      </c>
      <c r="J343" s="1" t="s">
        <v>94</v>
      </c>
      <c r="K343" s="1" t="s">
        <v>95</v>
      </c>
    </row>
    <row r="344" spans="1:11" ht="15.6" x14ac:dyDescent="0.3">
      <c r="A344" s="5"/>
      <c r="B344" s="3">
        <v>1435</v>
      </c>
      <c r="C344" s="4">
        <v>45680</v>
      </c>
      <c r="D344" s="3" t="s">
        <v>28</v>
      </c>
      <c r="E344" s="3">
        <v>2</v>
      </c>
      <c r="F344" s="3" t="s">
        <v>21</v>
      </c>
      <c r="G344" s="3">
        <v>44.82</v>
      </c>
      <c r="H344" s="3">
        <v>89.64</v>
      </c>
      <c r="I344" s="3" t="s">
        <v>93</v>
      </c>
      <c r="J344" s="3" t="s">
        <v>94</v>
      </c>
      <c r="K344" s="3" t="s">
        <v>95</v>
      </c>
    </row>
    <row r="345" spans="1:11" ht="15.6" x14ac:dyDescent="0.3">
      <c r="A345" s="5"/>
      <c r="B345" s="1">
        <v>1252</v>
      </c>
      <c r="C345" s="2">
        <v>45685</v>
      </c>
      <c r="D345" s="1" t="s">
        <v>20</v>
      </c>
      <c r="E345" s="1">
        <v>5</v>
      </c>
      <c r="F345" s="1" t="s">
        <v>21</v>
      </c>
      <c r="G345" s="1">
        <v>8.4499999999999993</v>
      </c>
      <c r="H345" s="1">
        <v>42.25</v>
      </c>
      <c r="I345" s="1" t="s">
        <v>93</v>
      </c>
      <c r="J345" s="1" t="s">
        <v>94</v>
      </c>
      <c r="K345" s="1" t="s">
        <v>95</v>
      </c>
    </row>
    <row r="346" spans="1:11" ht="15.6" x14ac:dyDescent="0.3">
      <c r="A346" s="5"/>
      <c r="B346" s="3">
        <v>1370</v>
      </c>
      <c r="C346" s="4">
        <v>45687</v>
      </c>
      <c r="D346" s="3" t="s">
        <v>14</v>
      </c>
      <c r="E346" s="3">
        <v>5</v>
      </c>
      <c r="F346" s="3" t="s">
        <v>15</v>
      </c>
      <c r="G346" s="3">
        <v>22.32</v>
      </c>
      <c r="H346" s="3">
        <v>111.61</v>
      </c>
      <c r="I346" s="3" t="s">
        <v>93</v>
      </c>
      <c r="J346" s="3" t="s">
        <v>94</v>
      </c>
      <c r="K346" s="3" t="s">
        <v>95</v>
      </c>
    </row>
    <row r="347" spans="1:11" ht="15.6" x14ac:dyDescent="0.3">
      <c r="A347" s="5"/>
      <c r="B347" s="1">
        <v>1334</v>
      </c>
      <c r="C347" s="2">
        <v>45688</v>
      </c>
      <c r="D347" s="1" t="s">
        <v>22</v>
      </c>
      <c r="E347" s="1">
        <v>1</v>
      </c>
      <c r="F347" s="1" t="s">
        <v>18</v>
      </c>
      <c r="G347" s="1">
        <v>12.48</v>
      </c>
      <c r="H347" s="1">
        <v>12.48</v>
      </c>
      <c r="I347" s="1" t="s">
        <v>93</v>
      </c>
      <c r="J347" s="1" t="s">
        <v>94</v>
      </c>
      <c r="K347" s="1" t="s">
        <v>95</v>
      </c>
    </row>
    <row r="348" spans="1:11" ht="15.6" x14ac:dyDescent="0.3">
      <c r="A348" s="5"/>
      <c r="B348" s="3">
        <v>1065</v>
      </c>
      <c r="C348" s="4">
        <v>45690</v>
      </c>
      <c r="D348" s="3" t="s">
        <v>19</v>
      </c>
      <c r="E348" s="3">
        <v>7</v>
      </c>
      <c r="F348" s="3" t="s">
        <v>10</v>
      </c>
      <c r="G348" s="3">
        <v>36.67</v>
      </c>
      <c r="H348" s="3">
        <v>256.66000000000003</v>
      </c>
      <c r="I348" s="3" t="s">
        <v>96</v>
      </c>
      <c r="J348" s="3" t="s">
        <v>97</v>
      </c>
      <c r="K348" s="3" t="s">
        <v>98</v>
      </c>
    </row>
    <row r="349" spans="1:11" ht="15.6" x14ac:dyDescent="0.3">
      <c r="A349" s="5"/>
      <c r="B349" s="1">
        <v>1156</v>
      </c>
      <c r="C349" s="2">
        <v>45690</v>
      </c>
      <c r="D349" s="1" t="s">
        <v>14</v>
      </c>
      <c r="E349" s="1">
        <v>5</v>
      </c>
      <c r="F349" s="1" t="s">
        <v>21</v>
      </c>
      <c r="G349" s="1">
        <v>23.89</v>
      </c>
      <c r="H349" s="1">
        <v>119.44</v>
      </c>
      <c r="I349" s="1" t="s">
        <v>96</v>
      </c>
      <c r="J349" s="1" t="s">
        <v>97</v>
      </c>
      <c r="K349" s="1" t="s">
        <v>98</v>
      </c>
    </row>
    <row r="350" spans="1:11" ht="15.6" x14ac:dyDescent="0.3">
      <c r="A350" s="5"/>
      <c r="B350" s="3">
        <v>1457</v>
      </c>
      <c r="C350" s="4">
        <v>45690</v>
      </c>
      <c r="D350" s="3" t="s">
        <v>17</v>
      </c>
      <c r="E350" s="3">
        <v>2</v>
      </c>
      <c r="F350" s="3" t="s">
        <v>18</v>
      </c>
      <c r="G350" s="3">
        <v>17.850000000000001</v>
      </c>
      <c r="H350" s="3">
        <v>35.71</v>
      </c>
      <c r="I350" s="3" t="s">
        <v>96</v>
      </c>
      <c r="J350" s="3" t="s">
        <v>97</v>
      </c>
      <c r="K350" s="3" t="s">
        <v>98</v>
      </c>
    </row>
    <row r="351" spans="1:11" ht="15.6" x14ac:dyDescent="0.3">
      <c r="A351" s="5"/>
      <c r="B351" s="1">
        <v>1144</v>
      </c>
      <c r="C351" s="2">
        <v>45693</v>
      </c>
      <c r="D351" s="1" t="s">
        <v>28</v>
      </c>
      <c r="E351" s="1">
        <v>4</v>
      </c>
      <c r="F351" s="1" t="s">
        <v>15</v>
      </c>
      <c r="G351" s="1">
        <v>44.33</v>
      </c>
      <c r="H351" s="1">
        <v>177.32</v>
      </c>
      <c r="I351" s="1" t="s">
        <v>96</v>
      </c>
      <c r="J351" s="1" t="s">
        <v>97</v>
      </c>
      <c r="K351" s="1" t="s">
        <v>98</v>
      </c>
    </row>
    <row r="352" spans="1:11" ht="15.6" x14ac:dyDescent="0.3">
      <c r="A352" s="5"/>
      <c r="B352" s="3">
        <v>1096</v>
      </c>
      <c r="C352" s="4">
        <v>45693</v>
      </c>
      <c r="D352" s="3" t="s">
        <v>22</v>
      </c>
      <c r="E352" s="3">
        <v>4</v>
      </c>
      <c r="F352" s="3" t="s">
        <v>15</v>
      </c>
      <c r="G352" s="3">
        <v>13.56</v>
      </c>
      <c r="H352" s="3">
        <v>54.23</v>
      </c>
      <c r="I352" s="3" t="s">
        <v>96</v>
      </c>
      <c r="J352" s="3" t="s">
        <v>97</v>
      </c>
      <c r="K352" s="3" t="s">
        <v>98</v>
      </c>
    </row>
    <row r="353" spans="1:11" ht="15.6" x14ac:dyDescent="0.3">
      <c r="A353" s="5"/>
      <c r="B353" s="1">
        <v>1336</v>
      </c>
      <c r="C353" s="2">
        <v>45695</v>
      </c>
      <c r="D353" s="1" t="s">
        <v>17</v>
      </c>
      <c r="E353" s="1">
        <v>5</v>
      </c>
      <c r="F353" s="1" t="s">
        <v>15</v>
      </c>
      <c r="G353" s="1">
        <v>19.04</v>
      </c>
      <c r="H353" s="1">
        <v>95.22</v>
      </c>
      <c r="I353" s="1" t="s">
        <v>96</v>
      </c>
      <c r="J353" s="1" t="s">
        <v>97</v>
      </c>
      <c r="K353" s="1" t="s">
        <v>98</v>
      </c>
    </row>
    <row r="354" spans="1:11" ht="15.6" x14ac:dyDescent="0.3">
      <c r="A354" s="5"/>
      <c r="B354" s="3">
        <v>1007</v>
      </c>
      <c r="C354" s="4">
        <v>45696</v>
      </c>
      <c r="D354" s="3" t="s">
        <v>16</v>
      </c>
      <c r="E354" s="3">
        <v>4</v>
      </c>
      <c r="F354" s="3" t="s">
        <v>18</v>
      </c>
      <c r="G354" s="3">
        <v>25.06</v>
      </c>
      <c r="H354" s="3">
        <v>100.25</v>
      </c>
      <c r="I354" s="3" t="s">
        <v>96</v>
      </c>
      <c r="J354" s="3" t="s">
        <v>97</v>
      </c>
      <c r="K354" s="3" t="s">
        <v>98</v>
      </c>
    </row>
    <row r="355" spans="1:11" ht="15.6" x14ac:dyDescent="0.3">
      <c r="A355" s="5"/>
      <c r="B355" s="1">
        <v>1286</v>
      </c>
      <c r="C355" s="2">
        <v>45700</v>
      </c>
      <c r="D355" s="1" t="s">
        <v>16</v>
      </c>
      <c r="E355" s="1">
        <v>3</v>
      </c>
      <c r="F355" s="1" t="s">
        <v>15</v>
      </c>
      <c r="G355" s="1">
        <v>25.59</v>
      </c>
      <c r="H355" s="1">
        <v>76.760000000000005</v>
      </c>
      <c r="I355" s="1" t="s">
        <v>96</v>
      </c>
      <c r="J355" s="1" t="s">
        <v>97</v>
      </c>
      <c r="K355" s="1" t="s">
        <v>98</v>
      </c>
    </row>
    <row r="356" spans="1:11" ht="15.6" x14ac:dyDescent="0.3">
      <c r="A356" s="5"/>
      <c r="B356" s="3">
        <v>1043</v>
      </c>
      <c r="C356" s="4">
        <v>45702</v>
      </c>
      <c r="D356" s="3" t="s">
        <v>14</v>
      </c>
      <c r="E356" s="3">
        <v>6</v>
      </c>
      <c r="F356" s="3" t="s">
        <v>18</v>
      </c>
      <c r="G356" s="3">
        <v>21.96</v>
      </c>
      <c r="H356" s="3">
        <v>131.79</v>
      </c>
      <c r="I356" s="3" t="s">
        <v>96</v>
      </c>
      <c r="J356" s="3" t="s">
        <v>97</v>
      </c>
      <c r="K356" s="3" t="s">
        <v>98</v>
      </c>
    </row>
    <row r="357" spans="1:11" ht="15.6" x14ac:dyDescent="0.3">
      <c r="A357" s="5"/>
      <c r="B357" s="1">
        <v>1359</v>
      </c>
      <c r="C357" s="2">
        <v>45702</v>
      </c>
      <c r="D357" s="1" t="s">
        <v>19</v>
      </c>
      <c r="E357" s="1">
        <v>2</v>
      </c>
      <c r="F357" s="1" t="s">
        <v>18</v>
      </c>
      <c r="G357" s="1">
        <v>31.3</v>
      </c>
      <c r="H357" s="1">
        <v>62.59</v>
      </c>
      <c r="I357" s="1" t="s">
        <v>96</v>
      </c>
      <c r="J357" s="1" t="s">
        <v>97</v>
      </c>
      <c r="K357" s="1" t="s">
        <v>98</v>
      </c>
    </row>
    <row r="358" spans="1:11" ht="15.6" x14ac:dyDescent="0.3">
      <c r="A358" s="5"/>
      <c r="B358" s="3">
        <v>1037</v>
      </c>
      <c r="C358" s="4">
        <v>45703</v>
      </c>
      <c r="D358" s="3" t="s">
        <v>24</v>
      </c>
      <c r="E358" s="3">
        <v>1</v>
      </c>
      <c r="F358" s="3" t="s">
        <v>10</v>
      </c>
      <c r="G358" s="3">
        <v>55.97</v>
      </c>
      <c r="H358" s="3">
        <v>55.97</v>
      </c>
      <c r="I358" s="3" t="s">
        <v>96</v>
      </c>
      <c r="J358" s="3" t="s">
        <v>97</v>
      </c>
      <c r="K358" s="3" t="s">
        <v>98</v>
      </c>
    </row>
    <row r="359" spans="1:11" ht="15.6" x14ac:dyDescent="0.3">
      <c r="A359" s="5"/>
      <c r="B359" s="1">
        <v>1083</v>
      </c>
      <c r="C359" s="2">
        <v>45706</v>
      </c>
      <c r="D359" s="1" t="s">
        <v>28</v>
      </c>
      <c r="E359" s="1">
        <v>4</v>
      </c>
      <c r="F359" s="1" t="s">
        <v>18</v>
      </c>
      <c r="G359" s="1">
        <v>45.52</v>
      </c>
      <c r="H359" s="1">
        <v>182.09</v>
      </c>
      <c r="I359" s="1" t="s">
        <v>96</v>
      </c>
      <c r="J359" s="1" t="s">
        <v>97</v>
      </c>
      <c r="K359" s="1" t="s">
        <v>98</v>
      </c>
    </row>
    <row r="360" spans="1:11" ht="15.6" x14ac:dyDescent="0.3">
      <c r="A360" s="5"/>
      <c r="B360" s="3">
        <v>1463</v>
      </c>
      <c r="C360" s="4">
        <v>45710</v>
      </c>
      <c r="D360" s="3" t="s">
        <v>14</v>
      </c>
      <c r="E360" s="3">
        <v>4</v>
      </c>
      <c r="F360" s="3" t="s">
        <v>10</v>
      </c>
      <c r="G360" s="3">
        <v>20.079999999999998</v>
      </c>
      <c r="H360" s="3">
        <v>80.3</v>
      </c>
      <c r="I360" s="3" t="s">
        <v>96</v>
      </c>
      <c r="J360" s="3" t="s">
        <v>97</v>
      </c>
      <c r="K360" s="3" t="s">
        <v>98</v>
      </c>
    </row>
    <row r="361" spans="1:11" ht="15.6" x14ac:dyDescent="0.3">
      <c r="A361" s="5"/>
      <c r="B361" s="1">
        <v>1250</v>
      </c>
      <c r="C361" s="2">
        <v>45711</v>
      </c>
      <c r="D361" s="1" t="s">
        <v>14</v>
      </c>
      <c r="E361" s="1">
        <v>4</v>
      </c>
      <c r="F361" s="1" t="s">
        <v>15</v>
      </c>
      <c r="G361" s="1">
        <v>22.82</v>
      </c>
      <c r="H361" s="1">
        <v>91.28</v>
      </c>
      <c r="I361" s="1" t="s">
        <v>96</v>
      </c>
      <c r="J361" s="1" t="s">
        <v>97</v>
      </c>
      <c r="K361" s="1" t="s">
        <v>98</v>
      </c>
    </row>
    <row r="362" spans="1:11" ht="15.6" x14ac:dyDescent="0.3">
      <c r="A362" s="5"/>
      <c r="B362" s="3">
        <v>1313</v>
      </c>
      <c r="C362" s="4">
        <v>45716</v>
      </c>
      <c r="D362" s="3" t="s">
        <v>24</v>
      </c>
      <c r="E362" s="3">
        <v>4</v>
      </c>
      <c r="F362" s="3" t="s">
        <v>18</v>
      </c>
      <c r="G362" s="3">
        <v>53.37</v>
      </c>
      <c r="H362" s="3">
        <v>213.46</v>
      </c>
      <c r="I362" s="3" t="s">
        <v>96</v>
      </c>
      <c r="J362" s="3" t="s">
        <v>97</v>
      </c>
      <c r="K362" s="3" t="s">
        <v>98</v>
      </c>
    </row>
    <row r="363" spans="1:11" ht="15.6" x14ac:dyDescent="0.3">
      <c r="A363" s="5"/>
      <c r="B363" s="1">
        <v>1303</v>
      </c>
      <c r="C363" s="2">
        <v>45717</v>
      </c>
      <c r="D363" s="1" t="s">
        <v>22</v>
      </c>
      <c r="E363" s="1">
        <v>6</v>
      </c>
      <c r="F363" s="1" t="s">
        <v>21</v>
      </c>
      <c r="G363" s="1">
        <v>12.7</v>
      </c>
      <c r="H363" s="1">
        <v>76.23</v>
      </c>
      <c r="I363" s="1" t="s">
        <v>99</v>
      </c>
      <c r="J363" s="1" t="s">
        <v>100</v>
      </c>
      <c r="K363" s="1" t="s">
        <v>101</v>
      </c>
    </row>
    <row r="364" spans="1:11" ht="15.6" x14ac:dyDescent="0.3">
      <c r="A364" s="5"/>
      <c r="B364" s="3">
        <v>1063</v>
      </c>
      <c r="C364" s="4">
        <v>45718</v>
      </c>
      <c r="D364" s="3" t="s">
        <v>24</v>
      </c>
      <c r="E364" s="3">
        <v>3</v>
      </c>
      <c r="F364" s="3" t="s">
        <v>15</v>
      </c>
      <c r="G364" s="3">
        <v>45.19</v>
      </c>
      <c r="H364" s="3">
        <v>135.56</v>
      </c>
      <c r="I364" s="3" t="s">
        <v>99</v>
      </c>
      <c r="J364" s="3" t="s">
        <v>100</v>
      </c>
      <c r="K364" s="3" t="s">
        <v>101</v>
      </c>
    </row>
    <row r="365" spans="1:11" ht="15.6" x14ac:dyDescent="0.3">
      <c r="A365" s="5"/>
      <c r="B365" s="1">
        <v>1339</v>
      </c>
      <c r="C365" s="2">
        <v>45718</v>
      </c>
      <c r="D365" s="1" t="s">
        <v>9</v>
      </c>
      <c r="E365" s="1">
        <v>1</v>
      </c>
      <c r="F365" s="1" t="s">
        <v>15</v>
      </c>
      <c r="G365" s="1">
        <v>60.64</v>
      </c>
      <c r="H365" s="1">
        <v>60.64</v>
      </c>
      <c r="I365" s="1" t="s">
        <v>99</v>
      </c>
      <c r="J365" s="1" t="s">
        <v>100</v>
      </c>
      <c r="K365" s="1" t="s">
        <v>101</v>
      </c>
    </row>
    <row r="366" spans="1:11" ht="15.6" x14ac:dyDescent="0.3">
      <c r="A366" s="5"/>
      <c r="B366" s="3">
        <v>1420</v>
      </c>
      <c r="C366" s="4">
        <v>45721</v>
      </c>
      <c r="D366" s="3" t="s">
        <v>22</v>
      </c>
      <c r="E366" s="3">
        <v>3</v>
      </c>
      <c r="F366" s="3" t="s">
        <v>10</v>
      </c>
      <c r="G366" s="3">
        <v>10.87</v>
      </c>
      <c r="H366" s="3">
        <v>32.6</v>
      </c>
      <c r="I366" s="3" t="s">
        <v>99</v>
      </c>
      <c r="J366" s="3" t="s">
        <v>100</v>
      </c>
      <c r="K366" s="3" t="s">
        <v>101</v>
      </c>
    </row>
    <row r="367" spans="1:11" ht="15.6" x14ac:dyDescent="0.3">
      <c r="A367" s="5"/>
      <c r="B367" s="1">
        <v>1099</v>
      </c>
      <c r="C367" s="2">
        <v>45721</v>
      </c>
      <c r="D367" s="1" t="s">
        <v>20</v>
      </c>
      <c r="E367" s="1">
        <v>6</v>
      </c>
      <c r="F367" s="1" t="s">
        <v>21</v>
      </c>
      <c r="G367" s="1">
        <v>7.88</v>
      </c>
      <c r="H367" s="1">
        <v>47.28</v>
      </c>
      <c r="I367" s="1" t="s">
        <v>99</v>
      </c>
      <c r="J367" s="1" t="s">
        <v>100</v>
      </c>
      <c r="K367" s="1" t="s">
        <v>101</v>
      </c>
    </row>
    <row r="368" spans="1:11" ht="15.6" x14ac:dyDescent="0.3">
      <c r="A368" s="5"/>
      <c r="B368" s="3">
        <v>1118</v>
      </c>
      <c r="C368" s="4">
        <v>45722</v>
      </c>
      <c r="D368" s="3" t="s">
        <v>9</v>
      </c>
      <c r="E368" s="3">
        <v>3</v>
      </c>
      <c r="F368" s="3" t="s">
        <v>21</v>
      </c>
      <c r="G368" s="3">
        <v>64.28</v>
      </c>
      <c r="H368" s="3">
        <v>192.84</v>
      </c>
      <c r="I368" s="3" t="s">
        <v>99</v>
      </c>
      <c r="J368" s="3" t="s">
        <v>100</v>
      </c>
      <c r="K368" s="3" t="s">
        <v>101</v>
      </c>
    </row>
    <row r="369" spans="1:11" ht="15.6" x14ac:dyDescent="0.3">
      <c r="A369" s="5"/>
      <c r="B369" s="1">
        <v>1493</v>
      </c>
      <c r="C369" s="2">
        <v>45724</v>
      </c>
      <c r="D369" s="1" t="s">
        <v>17</v>
      </c>
      <c r="E369" s="1">
        <v>6</v>
      </c>
      <c r="F369" s="1" t="s">
        <v>10</v>
      </c>
      <c r="G369" s="1">
        <v>19.39</v>
      </c>
      <c r="H369" s="1">
        <v>116.32</v>
      </c>
      <c r="I369" s="1" t="s">
        <v>99</v>
      </c>
      <c r="J369" s="1" t="s">
        <v>100</v>
      </c>
      <c r="K369" s="1" t="s">
        <v>101</v>
      </c>
    </row>
    <row r="370" spans="1:11" ht="15.6" x14ac:dyDescent="0.3">
      <c r="A370" s="5"/>
      <c r="B370" s="3">
        <v>1215</v>
      </c>
      <c r="C370" s="4">
        <v>45724</v>
      </c>
      <c r="D370" s="3" t="s">
        <v>16</v>
      </c>
      <c r="E370" s="3">
        <v>5</v>
      </c>
      <c r="F370" s="3" t="s">
        <v>18</v>
      </c>
      <c r="G370" s="3">
        <v>25.68</v>
      </c>
      <c r="H370" s="3">
        <v>128.41999999999999</v>
      </c>
      <c r="I370" s="3" t="s">
        <v>99</v>
      </c>
      <c r="J370" s="3" t="s">
        <v>100</v>
      </c>
      <c r="K370" s="3" t="s">
        <v>101</v>
      </c>
    </row>
    <row r="371" spans="1:11" ht="15.6" x14ac:dyDescent="0.3">
      <c r="A371" s="5"/>
      <c r="B371" s="1">
        <v>1199</v>
      </c>
      <c r="C371" s="2">
        <v>45727</v>
      </c>
      <c r="D371" s="1" t="s">
        <v>14</v>
      </c>
      <c r="E371" s="1">
        <v>4</v>
      </c>
      <c r="F371" s="1" t="s">
        <v>15</v>
      </c>
      <c r="G371" s="1">
        <v>20.56</v>
      </c>
      <c r="H371" s="1">
        <v>82.24</v>
      </c>
      <c r="I371" s="1" t="s">
        <v>99</v>
      </c>
      <c r="J371" s="1" t="s">
        <v>100</v>
      </c>
      <c r="K371" s="1" t="s">
        <v>101</v>
      </c>
    </row>
    <row r="372" spans="1:11" ht="15.6" x14ac:dyDescent="0.3">
      <c r="A372" s="5"/>
      <c r="B372" s="3">
        <v>1333</v>
      </c>
      <c r="C372" s="4">
        <v>45728</v>
      </c>
      <c r="D372" s="3" t="s">
        <v>24</v>
      </c>
      <c r="E372" s="3">
        <v>5</v>
      </c>
      <c r="F372" s="3" t="s">
        <v>18</v>
      </c>
      <c r="G372" s="3">
        <v>50.19</v>
      </c>
      <c r="H372" s="3">
        <v>250.94</v>
      </c>
      <c r="I372" s="3" t="s">
        <v>99</v>
      </c>
      <c r="J372" s="3" t="s">
        <v>100</v>
      </c>
      <c r="K372" s="3" t="s">
        <v>101</v>
      </c>
    </row>
    <row r="373" spans="1:11" ht="15.6" x14ac:dyDescent="0.3">
      <c r="A373" s="5"/>
      <c r="B373" s="1">
        <v>1307</v>
      </c>
      <c r="C373" s="2">
        <v>45728</v>
      </c>
      <c r="D373" s="1" t="s">
        <v>28</v>
      </c>
      <c r="E373" s="1">
        <v>5</v>
      </c>
      <c r="F373" s="1" t="s">
        <v>15</v>
      </c>
      <c r="G373" s="1">
        <v>43.11</v>
      </c>
      <c r="H373" s="1">
        <v>215.55</v>
      </c>
      <c r="I373" s="1" t="s">
        <v>99</v>
      </c>
      <c r="J373" s="1" t="s">
        <v>100</v>
      </c>
      <c r="K373" s="1" t="s">
        <v>101</v>
      </c>
    </row>
    <row r="374" spans="1:11" ht="15.6" x14ac:dyDescent="0.3">
      <c r="A374" s="5"/>
      <c r="B374" s="3">
        <v>1087</v>
      </c>
      <c r="C374" s="4">
        <v>45731</v>
      </c>
      <c r="D374" s="3" t="s">
        <v>24</v>
      </c>
      <c r="E374" s="3">
        <v>6</v>
      </c>
      <c r="F374" s="3" t="s">
        <v>10</v>
      </c>
      <c r="G374" s="3">
        <v>53.19</v>
      </c>
      <c r="H374" s="3">
        <v>319.13</v>
      </c>
      <c r="I374" s="3" t="s">
        <v>99</v>
      </c>
      <c r="J374" s="3" t="s">
        <v>100</v>
      </c>
      <c r="K374" s="3" t="s">
        <v>101</v>
      </c>
    </row>
    <row r="375" spans="1:11" ht="15.6" x14ac:dyDescent="0.3">
      <c r="A375" s="5"/>
      <c r="B375" s="1">
        <v>1009</v>
      </c>
      <c r="C375" s="2">
        <v>45732</v>
      </c>
      <c r="D375" s="1" t="s">
        <v>24</v>
      </c>
      <c r="E375" s="1">
        <v>5</v>
      </c>
      <c r="F375" s="1" t="s">
        <v>18</v>
      </c>
      <c r="G375" s="1">
        <v>55.63</v>
      </c>
      <c r="H375" s="1">
        <v>278.13</v>
      </c>
      <c r="I375" s="1" t="s">
        <v>99</v>
      </c>
      <c r="J375" s="1" t="s">
        <v>100</v>
      </c>
      <c r="K375" s="1" t="s">
        <v>101</v>
      </c>
    </row>
    <row r="376" spans="1:11" ht="15.6" x14ac:dyDescent="0.3">
      <c r="A376" s="5"/>
      <c r="B376" s="3">
        <v>1453</v>
      </c>
      <c r="C376" s="4">
        <v>45741</v>
      </c>
      <c r="D376" s="3" t="s">
        <v>23</v>
      </c>
      <c r="E376" s="3">
        <v>5</v>
      </c>
      <c r="F376" s="3" t="s">
        <v>15</v>
      </c>
      <c r="G376" s="3">
        <v>15.56</v>
      </c>
      <c r="H376" s="3">
        <v>77.790000000000006</v>
      </c>
      <c r="I376" s="3" t="s">
        <v>99</v>
      </c>
      <c r="J376" s="3" t="s">
        <v>100</v>
      </c>
      <c r="K376" s="3" t="s">
        <v>101</v>
      </c>
    </row>
    <row r="377" spans="1:11" ht="15.6" x14ac:dyDescent="0.3">
      <c r="A377" s="5"/>
      <c r="B377" s="1">
        <v>1201</v>
      </c>
      <c r="C377" s="2">
        <v>45742</v>
      </c>
      <c r="D377" s="1" t="s">
        <v>28</v>
      </c>
      <c r="E377" s="1">
        <v>4</v>
      </c>
      <c r="F377" s="1" t="s">
        <v>21</v>
      </c>
      <c r="G377" s="1">
        <v>46.85</v>
      </c>
      <c r="H377" s="1">
        <v>187.42</v>
      </c>
      <c r="I377" s="1" t="s">
        <v>99</v>
      </c>
      <c r="J377" s="1" t="s">
        <v>100</v>
      </c>
      <c r="K377" s="1" t="s">
        <v>101</v>
      </c>
    </row>
    <row r="378" spans="1:11" ht="15.6" x14ac:dyDescent="0.3">
      <c r="A378" s="5"/>
      <c r="B378" s="3">
        <v>1056</v>
      </c>
      <c r="C378" s="4">
        <v>45742</v>
      </c>
      <c r="D378" s="3" t="s">
        <v>20</v>
      </c>
      <c r="E378" s="3">
        <v>7</v>
      </c>
      <c r="F378" s="3" t="s">
        <v>15</v>
      </c>
      <c r="G378" s="3">
        <v>8.19</v>
      </c>
      <c r="H378" s="3">
        <v>57.32</v>
      </c>
      <c r="I378" s="3" t="s">
        <v>99</v>
      </c>
      <c r="J378" s="3" t="s">
        <v>100</v>
      </c>
      <c r="K378" s="3" t="s">
        <v>101</v>
      </c>
    </row>
    <row r="379" spans="1:11" ht="15.6" x14ac:dyDescent="0.3">
      <c r="A379" s="5"/>
      <c r="B379" s="1">
        <v>1181</v>
      </c>
      <c r="C379" s="2">
        <v>45742</v>
      </c>
      <c r="D379" s="1" t="s">
        <v>23</v>
      </c>
      <c r="E379" s="1">
        <v>6</v>
      </c>
      <c r="F379" s="1" t="s">
        <v>10</v>
      </c>
      <c r="G379" s="1">
        <v>15.24</v>
      </c>
      <c r="H379" s="1">
        <v>91.46</v>
      </c>
      <c r="I379" s="1" t="s">
        <v>99</v>
      </c>
      <c r="J379" s="1" t="s">
        <v>100</v>
      </c>
      <c r="K379" s="1" t="s">
        <v>101</v>
      </c>
    </row>
    <row r="380" spans="1:11" ht="15.6" x14ac:dyDescent="0.3">
      <c r="A380" s="5"/>
      <c r="B380" s="3">
        <v>1221</v>
      </c>
      <c r="C380" s="4">
        <v>45742</v>
      </c>
      <c r="D380" s="3" t="s">
        <v>16</v>
      </c>
      <c r="E380" s="3">
        <v>3</v>
      </c>
      <c r="F380" s="3" t="s">
        <v>15</v>
      </c>
      <c r="G380" s="3">
        <v>26.57</v>
      </c>
      <c r="H380" s="3">
        <v>79.709999999999994</v>
      </c>
      <c r="I380" s="3" t="s">
        <v>99</v>
      </c>
      <c r="J380" s="3" t="s">
        <v>100</v>
      </c>
      <c r="K380" s="3" t="s">
        <v>101</v>
      </c>
    </row>
    <row r="381" spans="1:11" ht="15.6" x14ac:dyDescent="0.3">
      <c r="A381" s="5"/>
      <c r="B381" s="1">
        <v>1196</v>
      </c>
      <c r="C381" s="2">
        <v>45748</v>
      </c>
      <c r="D381" s="1" t="s">
        <v>19</v>
      </c>
      <c r="E381" s="1">
        <v>2</v>
      </c>
      <c r="F381" s="1" t="s">
        <v>18</v>
      </c>
      <c r="G381" s="1">
        <v>37.93</v>
      </c>
      <c r="H381" s="1">
        <v>75.849999999999994</v>
      </c>
      <c r="I381" s="1" t="s">
        <v>102</v>
      </c>
      <c r="J381" s="1" t="s">
        <v>103</v>
      </c>
      <c r="K381" s="1" t="s">
        <v>104</v>
      </c>
    </row>
    <row r="382" spans="1:11" ht="15.6" x14ac:dyDescent="0.3">
      <c r="A382" s="5"/>
      <c r="B382" s="3">
        <v>1292</v>
      </c>
      <c r="C382" s="4">
        <v>45749</v>
      </c>
      <c r="D382" s="3" t="s">
        <v>14</v>
      </c>
      <c r="E382" s="3">
        <v>2</v>
      </c>
      <c r="F382" s="3" t="s">
        <v>18</v>
      </c>
      <c r="G382" s="3">
        <v>22.39</v>
      </c>
      <c r="H382" s="3">
        <v>44.79</v>
      </c>
      <c r="I382" s="3" t="s">
        <v>102</v>
      </c>
      <c r="J382" s="3" t="s">
        <v>103</v>
      </c>
      <c r="K382" s="3" t="s">
        <v>104</v>
      </c>
    </row>
    <row r="383" spans="1:11" ht="15.6" x14ac:dyDescent="0.3">
      <c r="A383" s="5"/>
      <c r="B383" s="1">
        <v>1492</v>
      </c>
      <c r="C383" s="2">
        <v>45750</v>
      </c>
      <c r="D383" s="1" t="s">
        <v>28</v>
      </c>
      <c r="E383" s="1">
        <v>4</v>
      </c>
      <c r="F383" s="1" t="s">
        <v>21</v>
      </c>
      <c r="G383" s="1">
        <v>41.89</v>
      </c>
      <c r="H383" s="1">
        <v>167.56</v>
      </c>
      <c r="I383" s="1" t="s">
        <v>102</v>
      </c>
      <c r="J383" s="1" t="s">
        <v>103</v>
      </c>
      <c r="K383" s="1" t="s">
        <v>104</v>
      </c>
    </row>
    <row r="384" spans="1:11" ht="15.6" x14ac:dyDescent="0.3">
      <c r="A384" s="5"/>
      <c r="B384" s="3">
        <v>1445</v>
      </c>
      <c r="C384" s="4">
        <v>45750</v>
      </c>
      <c r="D384" s="3" t="s">
        <v>22</v>
      </c>
      <c r="E384" s="3">
        <v>9</v>
      </c>
      <c r="F384" s="3" t="s">
        <v>15</v>
      </c>
      <c r="G384" s="3">
        <v>11.14</v>
      </c>
      <c r="H384" s="3">
        <v>100.23</v>
      </c>
      <c r="I384" s="3" t="s">
        <v>102</v>
      </c>
      <c r="J384" s="3" t="s">
        <v>103</v>
      </c>
      <c r="K384" s="3" t="s">
        <v>104</v>
      </c>
    </row>
    <row r="385" spans="1:11" ht="15.6" x14ac:dyDescent="0.3">
      <c r="A385" s="5"/>
      <c r="B385" s="1">
        <v>1366</v>
      </c>
      <c r="C385" s="2">
        <v>45752</v>
      </c>
      <c r="D385" s="1" t="s">
        <v>22</v>
      </c>
      <c r="E385" s="1">
        <v>5</v>
      </c>
      <c r="F385" s="1" t="s">
        <v>10</v>
      </c>
      <c r="G385" s="1">
        <v>12.12</v>
      </c>
      <c r="H385" s="1">
        <v>60.61</v>
      </c>
      <c r="I385" s="1" t="s">
        <v>102</v>
      </c>
      <c r="J385" s="1" t="s">
        <v>103</v>
      </c>
      <c r="K385" s="1" t="s">
        <v>104</v>
      </c>
    </row>
    <row r="386" spans="1:11" ht="15.6" x14ac:dyDescent="0.3">
      <c r="A386" s="5"/>
      <c r="B386" s="3">
        <v>1257</v>
      </c>
      <c r="C386" s="4">
        <v>45754</v>
      </c>
      <c r="D386" s="3" t="s">
        <v>19</v>
      </c>
      <c r="E386" s="3">
        <v>3</v>
      </c>
      <c r="F386" s="3" t="s">
        <v>10</v>
      </c>
      <c r="G386" s="3">
        <v>35.36</v>
      </c>
      <c r="H386" s="3">
        <v>106.08</v>
      </c>
      <c r="I386" s="3" t="s">
        <v>102</v>
      </c>
      <c r="J386" s="3" t="s">
        <v>103</v>
      </c>
      <c r="K386" s="3" t="s">
        <v>104</v>
      </c>
    </row>
    <row r="387" spans="1:11" ht="15.6" x14ac:dyDescent="0.3">
      <c r="A387" s="5"/>
      <c r="B387" s="1">
        <v>1438</v>
      </c>
      <c r="C387" s="2">
        <v>45755</v>
      </c>
      <c r="D387" s="1" t="s">
        <v>17</v>
      </c>
      <c r="E387" s="1">
        <v>7</v>
      </c>
      <c r="F387" s="1" t="s">
        <v>21</v>
      </c>
      <c r="G387" s="1">
        <v>18.420000000000002</v>
      </c>
      <c r="H387" s="1">
        <v>128.91999999999999</v>
      </c>
      <c r="I387" s="1" t="s">
        <v>102</v>
      </c>
      <c r="J387" s="1" t="s">
        <v>103</v>
      </c>
      <c r="K387" s="1" t="s">
        <v>104</v>
      </c>
    </row>
    <row r="388" spans="1:11" ht="15.6" x14ac:dyDescent="0.3">
      <c r="A388" s="5"/>
      <c r="B388" s="3">
        <v>1300</v>
      </c>
      <c r="C388" s="4">
        <v>45757</v>
      </c>
      <c r="D388" s="3" t="s">
        <v>23</v>
      </c>
      <c r="E388" s="3">
        <v>4</v>
      </c>
      <c r="F388" s="3" t="s">
        <v>10</v>
      </c>
      <c r="G388" s="3">
        <v>14.93</v>
      </c>
      <c r="H388" s="3">
        <v>59.72</v>
      </c>
      <c r="I388" s="3" t="s">
        <v>102</v>
      </c>
      <c r="J388" s="3" t="s">
        <v>103</v>
      </c>
      <c r="K388" s="3" t="s">
        <v>104</v>
      </c>
    </row>
    <row r="389" spans="1:11" ht="15.6" x14ac:dyDescent="0.3">
      <c r="A389" s="5"/>
      <c r="B389" s="1">
        <v>1027</v>
      </c>
      <c r="C389" s="2">
        <v>45758</v>
      </c>
      <c r="D389" s="1" t="s">
        <v>28</v>
      </c>
      <c r="E389" s="1">
        <v>3</v>
      </c>
      <c r="F389" s="1" t="s">
        <v>18</v>
      </c>
      <c r="G389" s="1">
        <v>41.31</v>
      </c>
      <c r="H389" s="1">
        <v>123.94</v>
      </c>
      <c r="I389" s="1" t="s">
        <v>102</v>
      </c>
      <c r="J389" s="1" t="s">
        <v>103</v>
      </c>
      <c r="K389" s="1" t="s">
        <v>104</v>
      </c>
    </row>
    <row r="390" spans="1:11" ht="15.6" x14ac:dyDescent="0.3">
      <c r="A390" s="5"/>
      <c r="B390" s="3">
        <v>1268</v>
      </c>
      <c r="C390" s="4">
        <v>45760</v>
      </c>
      <c r="D390" s="3" t="s">
        <v>17</v>
      </c>
      <c r="E390" s="3">
        <v>3</v>
      </c>
      <c r="F390" s="3" t="s">
        <v>18</v>
      </c>
      <c r="G390" s="3">
        <v>18.96</v>
      </c>
      <c r="H390" s="3">
        <v>56.88</v>
      </c>
      <c r="I390" s="3" t="s">
        <v>102</v>
      </c>
      <c r="J390" s="3" t="s">
        <v>103</v>
      </c>
      <c r="K390" s="3" t="s">
        <v>104</v>
      </c>
    </row>
    <row r="391" spans="1:11" ht="15.6" x14ac:dyDescent="0.3">
      <c r="A391" s="5"/>
      <c r="B391" s="1">
        <v>1140</v>
      </c>
      <c r="C391" s="2">
        <v>45762</v>
      </c>
      <c r="D391" s="1" t="s">
        <v>24</v>
      </c>
      <c r="E391" s="1">
        <v>4</v>
      </c>
      <c r="F391" s="1" t="s">
        <v>21</v>
      </c>
      <c r="G391" s="1">
        <v>55.97</v>
      </c>
      <c r="H391" s="1">
        <v>223.87</v>
      </c>
      <c r="I391" s="1" t="s">
        <v>102</v>
      </c>
      <c r="J391" s="1" t="s">
        <v>103</v>
      </c>
      <c r="K391" s="1" t="s">
        <v>104</v>
      </c>
    </row>
    <row r="392" spans="1:11" ht="15.6" x14ac:dyDescent="0.3">
      <c r="A392" s="5"/>
      <c r="B392" s="3">
        <v>1278</v>
      </c>
      <c r="C392" s="4">
        <v>45764</v>
      </c>
      <c r="D392" s="3" t="s">
        <v>17</v>
      </c>
      <c r="E392" s="3">
        <v>2</v>
      </c>
      <c r="F392" s="3" t="s">
        <v>21</v>
      </c>
      <c r="G392" s="3">
        <v>18.8</v>
      </c>
      <c r="H392" s="3">
        <v>37.6</v>
      </c>
      <c r="I392" s="3" t="s">
        <v>102</v>
      </c>
      <c r="J392" s="3" t="s">
        <v>103</v>
      </c>
      <c r="K392" s="3" t="s">
        <v>104</v>
      </c>
    </row>
    <row r="393" spans="1:11" ht="15.6" x14ac:dyDescent="0.3">
      <c r="A393" s="5"/>
      <c r="B393" s="1">
        <v>1030</v>
      </c>
      <c r="C393" s="2">
        <v>45767</v>
      </c>
      <c r="D393" s="1" t="s">
        <v>24</v>
      </c>
      <c r="E393" s="1">
        <v>8</v>
      </c>
      <c r="F393" s="1" t="s">
        <v>10</v>
      </c>
      <c r="G393" s="1">
        <v>52.5</v>
      </c>
      <c r="H393" s="1">
        <v>419.99</v>
      </c>
      <c r="I393" s="1" t="s">
        <v>102</v>
      </c>
      <c r="J393" s="1" t="s">
        <v>103</v>
      </c>
      <c r="K393" s="1" t="s">
        <v>104</v>
      </c>
    </row>
    <row r="394" spans="1:11" ht="15.6" x14ac:dyDescent="0.3">
      <c r="A394" s="5"/>
      <c r="B394" s="3">
        <v>1357</v>
      </c>
      <c r="C394" s="4">
        <v>45775</v>
      </c>
      <c r="D394" s="3" t="s">
        <v>22</v>
      </c>
      <c r="E394" s="3">
        <v>4</v>
      </c>
      <c r="F394" s="3" t="s">
        <v>10</v>
      </c>
      <c r="G394" s="3">
        <v>11.96</v>
      </c>
      <c r="H394" s="3">
        <v>47.82</v>
      </c>
      <c r="I394" s="3" t="s">
        <v>102</v>
      </c>
      <c r="J394" s="3" t="s">
        <v>103</v>
      </c>
      <c r="K394" s="3" t="s">
        <v>104</v>
      </c>
    </row>
    <row r="395" spans="1:11" ht="15.6" x14ac:dyDescent="0.3">
      <c r="A395" s="5"/>
      <c r="B395" s="1">
        <v>1398</v>
      </c>
      <c r="C395" s="2">
        <v>45777</v>
      </c>
      <c r="D395" s="1" t="s">
        <v>28</v>
      </c>
      <c r="E395" s="1">
        <v>6</v>
      </c>
      <c r="F395" s="1" t="s">
        <v>18</v>
      </c>
      <c r="G395" s="1">
        <v>42.56</v>
      </c>
      <c r="H395" s="1">
        <v>255.36</v>
      </c>
      <c r="I395" s="1" t="s">
        <v>102</v>
      </c>
      <c r="J395" s="1" t="s">
        <v>103</v>
      </c>
      <c r="K395" s="1" t="s">
        <v>104</v>
      </c>
    </row>
    <row r="396" spans="1:11" ht="15.6" x14ac:dyDescent="0.3">
      <c r="A396" s="5"/>
      <c r="B396" s="3">
        <v>1345</v>
      </c>
      <c r="C396" s="4">
        <v>45778</v>
      </c>
      <c r="D396" s="3" t="s">
        <v>16</v>
      </c>
      <c r="E396" s="3">
        <v>1</v>
      </c>
      <c r="F396" s="3" t="s">
        <v>21</v>
      </c>
      <c r="G396" s="3">
        <v>25.52</v>
      </c>
      <c r="H396" s="3">
        <v>25.52</v>
      </c>
      <c r="I396" s="3" t="s">
        <v>105</v>
      </c>
      <c r="J396" s="3" t="s">
        <v>106</v>
      </c>
      <c r="K396" s="3" t="s">
        <v>106</v>
      </c>
    </row>
    <row r="397" spans="1:11" ht="15.6" x14ac:dyDescent="0.3">
      <c r="A397" s="5"/>
      <c r="B397" s="1">
        <v>1246</v>
      </c>
      <c r="C397" s="2">
        <v>45780</v>
      </c>
      <c r="D397" s="1" t="s">
        <v>17</v>
      </c>
      <c r="E397" s="1">
        <v>3</v>
      </c>
      <c r="F397" s="1" t="s">
        <v>10</v>
      </c>
      <c r="G397" s="1">
        <v>18.04</v>
      </c>
      <c r="H397" s="1">
        <v>54.11</v>
      </c>
      <c r="I397" s="1" t="s">
        <v>105</v>
      </c>
      <c r="J397" s="1" t="s">
        <v>106</v>
      </c>
      <c r="K397" s="1" t="s">
        <v>106</v>
      </c>
    </row>
    <row r="398" spans="1:11" ht="15.6" x14ac:dyDescent="0.3">
      <c r="A398" s="5"/>
      <c r="B398" s="3">
        <v>1270</v>
      </c>
      <c r="C398" s="4">
        <v>45780</v>
      </c>
      <c r="D398" s="3" t="s">
        <v>24</v>
      </c>
      <c r="E398" s="3">
        <v>3</v>
      </c>
      <c r="F398" s="3" t="s">
        <v>18</v>
      </c>
      <c r="G398" s="3">
        <v>53.4</v>
      </c>
      <c r="H398" s="3">
        <v>160.19</v>
      </c>
      <c r="I398" s="3" t="s">
        <v>105</v>
      </c>
      <c r="J398" s="3" t="s">
        <v>106</v>
      </c>
      <c r="K398" s="3" t="s">
        <v>106</v>
      </c>
    </row>
    <row r="399" spans="1:11" ht="15.6" x14ac:dyDescent="0.3">
      <c r="A399" s="5"/>
      <c r="B399" s="1">
        <v>1136</v>
      </c>
      <c r="C399" s="2">
        <v>45781</v>
      </c>
      <c r="D399" s="1" t="s">
        <v>9</v>
      </c>
      <c r="E399" s="1">
        <v>10</v>
      </c>
      <c r="F399" s="1" t="s">
        <v>15</v>
      </c>
      <c r="G399" s="1">
        <v>65.53</v>
      </c>
      <c r="H399" s="1">
        <v>655.29</v>
      </c>
      <c r="I399" s="1" t="s">
        <v>105</v>
      </c>
      <c r="J399" s="1" t="s">
        <v>106</v>
      </c>
      <c r="K399" s="1" t="s">
        <v>106</v>
      </c>
    </row>
    <row r="400" spans="1:11" ht="15.6" x14ac:dyDescent="0.3">
      <c r="A400" s="5"/>
      <c r="B400" s="3">
        <v>1017</v>
      </c>
      <c r="C400" s="4">
        <v>45783</v>
      </c>
      <c r="D400" s="3" t="s">
        <v>16</v>
      </c>
      <c r="E400" s="3">
        <v>3</v>
      </c>
      <c r="F400" s="3" t="s">
        <v>18</v>
      </c>
      <c r="G400" s="3">
        <v>24.75</v>
      </c>
      <c r="H400" s="3">
        <v>74.260000000000005</v>
      </c>
      <c r="I400" s="3" t="s">
        <v>105</v>
      </c>
      <c r="J400" s="3" t="s">
        <v>106</v>
      </c>
      <c r="K400" s="3" t="s">
        <v>106</v>
      </c>
    </row>
    <row r="401" spans="1:11" ht="15.6" x14ac:dyDescent="0.3">
      <c r="A401" s="5"/>
      <c r="B401" s="1">
        <v>1000</v>
      </c>
      <c r="C401" s="2">
        <v>45787</v>
      </c>
      <c r="D401" s="1" t="s">
        <v>19</v>
      </c>
      <c r="E401" s="1">
        <v>7</v>
      </c>
      <c r="F401" s="1" t="s">
        <v>21</v>
      </c>
      <c r="G401" s="1">
        <v>35.6</v>
      </c>
      <c r="H401" s="1">
        <v>249.2</v>
      </c>
      <c r="I401" s="1" t="s">
        <v>105</v>
      </c>
      <c r="J401" s="1" t="s">
        <v>106</v>
      </c>
      <c r="K401" s="1" t="s">
        <v>106</v>
      </c>
    </row>
    <row r="402" spans="1:11" ht="15.6" x14ac:dyDescent="0.3">
      <c r="A402" s="5"/>
      <c r="B402" s="3">
        <v>1314</v>
      </c>
      <c r="C402" s="4">
        <v>45787</v>
      </c>
      <c r="D402" s="3" t="s">
        <v>23</v>
      </c>
      <c r="E402" s="3">
        <v>5</v>
      </c>
      <c r="F402" s="3" t="s">
        <v>18</v>
      </c>
      <c r="G402" s="3">
        <v>15.21</v>
      </c>
      <c r="H402" s="3">
        <v>76.06</v>
      </c>
      <c r="I402" s="3" t="s">
        <v>105</v>
      </c>
      <c r="J402" s="3" t="s">
        <v>106</v>
      </c>
      <c r="K402" s="3" t="s">
        <v>106</v>
      </c>
    </row>
    <row r="403" spans="1:11" ht="15.6" x14ac:dyDescent="0.3">
      <c r="A403" s="5"/>
      <c r="B403" s="1">
        <v>1160</v>
      </c>
      <c r="C403" s="2">
        <v>45790</v>
      </c>
      <c r="D403" s="1" t="s">
        <v>23</v>
      </c>
      <c r="E403" s="1">
        <v>6</v>
      </c>
      <c r="F403" s="1" t="s">
        <v>21</v>
      </c>
      <c r="G403" s="1">
        <v>15.13</v>
      </c>
      <c r="H403" s="1">
        <v>90.78</v>
      </c>
      <c r="I403" s="1" t="s">
        <v>105</v>
      </c>
      <c r="J403" s="1" t="s">
        <v>106</v>
      </c>
      <c r="K403" s="1" t="s">
        <v>106</v>
      </c>
    </row>
    <row r="404" spans="1:11" ht="15.6" x14ac:dyDescent="0.3">
      <c r="A404" s="5"/>
      <c r="B404" s="3">
        <v>1103</v>
      </c>
      <c r="C404" s="4">
        <v>45790</v>
      </c>
      <c r="D404" s="3" t="s">
        <v>16</v>
      </c>
      <c r="E404" s="3">
        <v>1</v>
      </c>
      <c r="F404" s="3" t="s">
        <v>18</v>
      </c>
      <c r="G404" s="3">
        <v>24.37</v>
      </c>
      <c r="H404" s="3">
        <v>24.37</v>
      </c>
      <c r="I404" s="3" t="s">
        <v>105</v>
      </c>
      <c r="J404" s="3" t="s">
        <v>106</v>
      </c>
      <c r="K404" s="3" t="s">
        <v>106</v>
      </c>
    </row>
    <row r="405" spans="1:11" ht="15.6" x14ac:dyDescent="0.3">
      <c r="A405" s="5"/>
      <c r="B405" s="1">
        <v>1291</v>
      </c>
      <c r="C405" s="2">
        <v>45793</v>
      </c>
      <c r="D405" s="1" t="s">
        <v>20</v>
      </c>
      <c r="E405" s="1">
        <v>6</v>
      </c>
      <c r="F405" s="1" t="s">
        <v>10</v>
      </c>
      <c r="G405" s="1">
        <v>7.99</v>
      </c>
      <c r="H405" s="1">
        <v>47.95</v>
      </c>
      <c r="I405" s="1" t="s">
        <v>105</v>
      </c>
      <c r="J405" s="1" t="s">
        <v>106</v>
      </c>
      <c r="K405" s="1" t="s">
        <v>106</v>
      </c>
    </row>
    <row r="406" spans="1:11" ht="15.6" x14ac:dyDescent="0.3">
      <c r="A406" s="5"/>
      <c r="B406" s="3">
        <v>1383</v>
      </c>
      <c r="C406" s="4">
        <v>45793</v>
      </c>
      <c r="D406" s="3" t="s">
        <v>24</v>
      </c>
      <c r="E406" s="3">
        <v>2</v>
      </c>
      <c r="F406" s="3" t="s">
        <v>21</v>
      </c>
      <c r="G406" s="3">
        <v>57.17</v>
      </c>
      <c r="H406" s="3">
        <v>114.34</v>
      </c>
      <c r="I406" s="3" t="s">
        <v>105</v>
      </c>
      <c r="J406" s="3" t="s">
        <v>106</v>
      </c>
      <c r="K406" s="3" t="s">
        <v>106</v>
      </c>
    </row>
    <row r="407" spans="1:11" ht="15.6" x14ac:dyDescent="0.3">
      <c r="A407" s="5"/>
      <c r="B407" s="1">
        <v>1475</v>
      </c>
      <c r="C407" s="2">
        <v>45795</v>
      </c>
      <c r="D407" s="1" t="s">
        <v>24</v>
      </c>
      <c r="E407" s="1">
        <v>6</v>
      </c>
      <c r="F407" s="1" t="s">
        <v>15</v>
      </c>
      <c r="G407" s="1">
        <v>55.63</v>
      </c>
      <c r="H407" s="1">
        <v>333.79</v>
      </c>
      <c r="I407" s="1" t="s">
        <v>105</v>
      </c>
      <c r="J407" s="1" t="s">
        <v>106</v>
      </c>
      <c r="K407" s="1" t="s">
        <v>106</v>
      </c>
    </row>
    <row r="408" spans="1:11" ht="15.6" x14ac:dyDescent="0.3">
      <c r="A408" s="5"/>
      <c r="B408" s="3">
        <v>1098</v>
      </c>
      <c r="C408" s="4">
        <v>45797</v>
      </c>
      <c r="D408" s="3" t="s">
        <v>9</v>
      </c>
      <c r="E408" s="3">
        <v>4</v>
      </c>
      <c r="F408" s="3" t="s">
        <v>18</v>
      </c>
      <c r="G408" s="3">
        <v>58.95</v>
      </c>
      <c r="H408" s="3">
        <v>235.8</v>
      </c>
      <c r="I408" s="3" t="s">
        <v>105</v>
      </c>
      <c r="J408" s="3" t="s">
        <v>106</v>
      </c>
      <c r="K408" s="3" t="s">
        <v>106</v>
      </c>
    </row>
    <row r="409" spans="1:11" ht="15.6" x14ac:dyDescent="0.3">
      <c r="A409" s="5"/>
      <c r="B409" s="1">
        <v>1165</v>
      </c>
      <c r="C409" s="2">
        <v>45798</v>
      </c>
      <c r="D409" s="1" t="s">
        <v>22</v>
      </c>
      <c r="E409" s="1">
        <v>4</v>
      </c>
      <c r="F409" s="1" t="s">
        <v>10</v>
      </c>
      <c r="G409" s="1">
        <v>12.46</v>
      </c>
      <c r="H409" s="1">
        <v>49.85</v>
      </c>
      <c r="I409" s="1" t="s">
        <v>105</v>
      </c>
      <c r="J409" s="1" t="s">
        <v>106</v>
      </c>
      <c r="K409" s="1" t="s">
        <v>106</v>
      </c>
    </row>
    <row r="410" spans="1:11" ht="15.6" x14ac:dyDescent="0.3">
      <c r="A410" s="5"/>
      <c r="B410" s="3">
        <v>1005</v>
      </c>
      <c r="C410" s="4">
        <v>45798</v>
      </c>
      <c r="D410" s="3" t="s">
        <v>22</v>
      </c>
      <c r="E410" s="3">
        <v>5</v>
      </c>
      <c r="F410" s="3" t="s">
        <v>21</v>
      </c>
      <c r="G410" s="3">
        <v>11.84</v>
      </c>
      <c r="H410" s="3">
        <v>59.2</v>
      </c>
      <c r="I410" s="3" t="s">
        <v>105</v>
      </c>
      <c r="J410" s="3" t="s">
        <v>106</v>
      </c>
      <c r="K410" s="3" t="s">
        <v>106</v>
      </c>
    </row>
    <row r="411" spans="1:11" ht="15.6" x14ac:dyDescent="0.3">
      <c r="A411" s="5"/>
      <c r="B411" s="1">
        <v>1384</v>
      </c>
      <c r="C411" s="2">
        <v>45799</v>
      </c>
      <c r="D411" s="1" t="s">
        <v>23</v>
      </c>
      <c r="E411" s="1">
        <v>7</v>
      </c>
      <c r="F411" s="1" t="s">
        <v>10</v>
      </c>
      <c r="G411" s="1">
        <v>16.09</v>
      </c>
      <c r="H411" s="1">
        <v>112.6</v>
      </c>
      <c r="I411" s="1" t="s">
        <v>105</v>
      </c>
      <c r="J411" s="1" t="s">
        <v>106</v>
      </c>
      <c r="K411" s="1" t="s">
        <v>106</v>
      </c>
    </row>
    <row r="412" spans="1:11" ht="15.6" x14ac:dyDescent="0.3">
      <c r="A412" s="5"/>
      <c r="B412" s="3">
        <v>1428</v>
      </c>
      <c r="C412" s="4">
        <v>45802</v>
      </c>
      <c r="D412" s="3" t="s">
        <v>22</v>
      </c>
      <c r="E412" s="3">
        <v>3</v>
      </c>
      <c r="F412" s="3" t="s">
        <v>15</v>
      </c>
      <c r="G412" s="3">
        <v>12.67</v>
      </c>
      <c r="H412" s="3">
        <v>38.01</v>
      </c>
      <c r="I412" s="3" t="s">
        <v>105</v>
      </c>
      <c r="J412" s="3" t="s">
        <v>106</v>
      </c>
      <c r="K412" s="3" t="s">
        <v>106</v>
      </c>
    </row>
    <row r="413" spans="1:11" ht="15.6" x14ac:dyDescent="0.3">
      <c r="A413" s="5"/>
      <c r="B413" s="1">
        <v>1494</v>
      </c>
      <c r="C413" s="2">
        <v>45803</v>
      </c>
      <c r="D413" s="1" t="s">
        <v>20</v>
      </c>
      <c r="E413" s="1">
        <v>5</v>
      </c>
      <c r="F413" s="1" t="s">
        <v>10</v>
      </c>
      <c r="G413" s="1">
        <v>8.2899999999999991</v>
      </c>
      <c r="H413" s="1">
        <v>41.46</v>
      </c>
      <c r="I413" s="1" t="s">
        <v>105</v>
      </c>
      <c r="J413" s="1" t="s">
        <v>106</v>
      </c>
      <c r="K413" s="1" t="s">
        <v>106</v>
      </c>
    </row>
    <row r="414" spans="1:11" ht="15.6" x14ac:dyDescent="0.3">
      <c r="A414" s="5"/>
      <c r="B414" s="3">
        <v>1287</v>
      </c>
      <c r="C414" s="4">
        <v>45803</v>
      </c>
      <c r="D414" s="3" t="s">
        <v>17</v>
      </c>
      <c r="E414" s="3">
        <v>4</v>
      </c>
      <c r="F414" s="3" t="s">
        <v>15</v>
      </c>
      <c r="G414" s="3">
        <v>19.72</v>
      </c>
      <c r="H414" s="3">
        <v>78.89</v>
      </c>
      <c r="I414" s="3" t="s">
        <v>105</v>
      </c>
      <c r="J414" s="3" t="s">
        <v>106</v>
      </c>
      <c r="K414" s="3" t="s">
        <v>106</v>
      </c>
    </row>
    <row r="415" spans="1:11" ht="15.6" x14ac:dyDescent="0.3">
      <c r="A415" s="5"/>
      <c r="B415" s="1">
        <v>1194</v>
      </c>
      <c r="C415" s="2">
        <v>45804</v>
      </c>
      <c r="D415" s="1" t="s">
        <v>17</v>
      </c>
      <c r="E415" s="1">
        <v>2</v>
      </c>
      <c r="F415" s="1" t="s">
        <v>18</v>
      </c>
      <c r="G415" s="1">
        <v>16.809999999999999</v>
      </c>
      <c r="H415" s="1">
        <v>33.61</v>
      </c>
      <c r="I415" s="1" t="s">
        <v>105</v>
      </c>
      <c r="J415" s="1" t="s">
        <v>106</v>
      </c>
      <c r="K415" s="1" t="s">
        <v>106</v>
      </c>
    </row>
    <row r="416" spans="1:11" ht="15.6" x14ac:dyDescent="0.3">
      <c r="A416" s="5"/>
      <c r="B416" s="3">
        <v>1217</v>
      </c>
      <c r="C416" s="4">
        <v>45805</v>
      </c>
      <c r="D416" s="3" t="s">
        <v>19</v>
      </c>
      <c r="E416" s="3">
        <v>4</v>
      </c>
      <c r="F416" s="3" t="s">
        <v>18</v>
      </c>
      <c r="G416" s="3">
        <v>35.619999999999997</v>
      </c>
      <c r="H416" s="3">
        <v>142.46</v>
      </c>
      <c r="I416" s="3" t="s">
        <v>105</v>
      </c>
      <c r="J416" s="3" t="s">
        <v>106</v>
      </c>
      <c r="K416" s="3" t="s">
        <v>106</v>
      </c>
    </row>
    <row r="417" spans="1:11" ht="15.6" x14ac:dyDescent="0.3">
      <c r="A417" s="5"/>
      <c r="B417" s="1">
        <v>1062</v>
      </c>
      <c r="C417" s="2">
        <v>45805</v>
      </c>
      <c r="D417" s="1" t="s">
        <v>9</v>
      </c>
      <c r="E417" s="1">
        <v>6</v>
      </c>
      <c r="F417" s="1" t="s">
        <v>21</v>
      </c>
      <c r="G417" s="1">
        <v>63.17</v>
      </c>
      <c r="H417" s="1">
        <v>379.01</v>
      </c>
      <c r="I417" s="1" t="s">
        <v>105</v>
      </c>
      <c r="J417" s="1" t="s">
        <v>106</v>
      </c>
      <c r="K417" s="1" t="s">
        <v>106</v>
      </c>
    </row>
    <row r="418" spans="1:11" ht="15.6" x14ac:dyDescent="0.3">
      <c r="A418" s="5"/>
      <c r="B418" s="3">
        <v>1174</v>
      </c>
      <c r="C418" s="4">
        <v>45807</v>
      </c>
      <c r="D418" s="3" t="s">
        <v>20</v>
      </c>
      <c r="E418" s="3">
        <v>5</v>
      </c>
      <c r="F418" s="3" t="s">
        <v>10</v>
      </c>
      <c r="G418" s="3">
        <v>8.32</v>
      </c>
      <c r="H418" s="3">
        <v>41.58</v>
      </c>
      <c r="I418" s="3" t="s">
        <v>105</v>
      </c>
      <c r="J418" s="3" t="s">
        <v>106</v>
      </c>
      <c r="K418" s="3" t="s">
        <v>106</v>
      </c>
    </row>
    <row r="419" spans="1:11" ht="15.6" x14ac:dyDescent="0.3">
      <c r="A419" s="5"/>
      <c r="B419" s="1">
        <v>1487</v>
      </c>
      <c r="C419" s="2">
        <v>45809</v>
      </c>
      <c r="D419" s="1" t="s">
        <v>16</v>
      </c>
      <c r="E419" s="1">
        <v>2</v>
      </c>
      <c r="F419" s="1" t="s">
        <v>10</v>
      </c>
      <c r="G419" s="1">
        <v>24.22</v>
      </c>
      <c r="H419" s="1">
        <v>48.43</v>
      </c>
      <c r="I419" s="1" t="s">
        <v>107</v>
      </c>
      <c r="J419" s="1" t="s">
        <v>108</v>
      </c>
      <c r="K419" s="1" t="s">
        <v>109</v>
      </c>
    </row>
    <row r="420" spans="1:11" ht="15.6" x14ac:dyDescent="0.3">
      <c r="A420" s="5"/>
      <c r="B420" s="3">
        <v>1289</v>
      </c>
      <c r="C420" s="4">
        <v>45810</v>
      </c>
      <c r="D420" s="3" t="s">
        <v>16</v>
      </c>
      <c r="E420" s="3">
        <v>2</v>
      </c>
      <c r="F420" s="3" t="s">
        <v>10</v>
      </c>
      <c r="G420" s="3">
        <v>23.89</v>
      </c>
      <c r="H420" s="3">
        <v>47.79</v>
      </c>
      <c r="I420" s="3" t="s">
        <v>107</v>
      </c>
      <c r="J420" s="3" t="s">
        <v>108</v>
      </c>
      <c r="K420" s="3" t="s">
        <v>109</v>
      </c>
    </row>
    <row r="421" spans="1:11" ht="15.6" x14ac:dyDescent="0.3">
      <c r="A421" s="5"/>
      <c r="B421" s="1">
        <v>1147</v>
      </c>
      <c r="C421" s="2">
        <v>45810</v>
      </c>
      <c r="D421" s="1" t="s">
        <v>20</v>
      </c>
      <c r="E421" s="1">
        <v>3</v>
      </c>
      <c r="F421" s="1" t="s">
        <v>15</v>
      </c>
      <c r="G421" s="1">
        <v>8.48</v>
      </c>
      <c r="H421" s="1">
        <v>25.44</v>
      </c>
      <c r="I421" s="1" t="s">
        <v>107</v>
      </c>
      <c r="J421" s="1" t="s">
        <v>108</v>
      </c>
      <c r="K421" s="1" t="s">
        <v>109</v>
      </c>
    </row>
    <row r="422" spans="1:11" ht="15.6" x14ac:dyDescent="0.3">
      <c r="A422" s="5"/>
      <c r="B422" s="3">
        <v>1400</v>
      </c>
      <c r="C422" s="4">
        <v>45811</v>
      </c>
      <c r="D422" s="3" t="s">
        <v>24</v>
      </c>
      <c r="E422" s="3">
        <v>4</v>
      </c>
      <c r="F422" s="3" t="s">
        <v>18</v>
      </c>
      <c r="G422" s="3">
        <v>52.35</v>
      </c>
      <c r="H422" s="3">
        <v>209.39</v>
      </c>
      <c r="I422" s="3" t="s">
        <v>107</v>
      </c>
      <c r="J422" s="3" t="s">
        <v>108</v>
      </c>
      <c r="K422" s="3" t="s">
        <v>109</v>
      </c>
    </row>
    <row r="423" spans="1:11" ht="15.6" x14ac:dyDescent="0.3">
      <c r="A423" s="5"/>
      <c r="B423" s="1">
        <v>1455</v>
      </c>
      <c r="C423" s="2">
        <v>45812</v>
      </c>
      <c r="D423" s="1" t="s">
        <v>17</v>
      </c>
      <c r="E423" s="1">
        <v>4</v>
      </c>
      <c r="F423" s="1" t="s">
        <v>18</v>
      </c>
      <c r="G423" s="1">
        <v>18.12</v>
      </c>
      <c r="H423" s="1">
        <v>72.48</v>
      </c>
      <c r="I423" s="1" t="s">
        <v>107</v>
      </c>
      <c r="J423" s="1" t="s">
        <v>108</v>
      </c>
      <c r="K423" s="1" t="s">
        <v>109</v>
      </c>
    </row>
    <row r="424" spans="1:11" ht="15.6" x14ac:dyDescent="0.3">
      <c r="A424" s="5"/>
      <c r="B424" s="3">
        <v>1403</v>
      </c>
      <c r="C424" s="4">
        <v>45817</v>
      </c>
      <c r="D424" s="3" t="s">
        <v>23</v>
      </c>
      <c r="E424" s="3">
        <v>5</v>
      </c>
      <c r="F424" s="3" t="s">
        <v>18</v>
      </c>
      <c r="G424" s="3">
        <v>14.68</v>
      </c>
      <c r="H424" s="3">
        <v>73.39</v>
      </c>
      <c r="I424" s="3" t="s">
        <v>107</v>
      </c>
      <c r="J424" s="3" t="s">
        <v>108</v>
      </c>
      <c r="K424" s="3" t="s">
        <v>109</v>
      </c>
    </row>
    <row r="425" spans="1:11" ht="15.6" x14ac:dyDescent="0.3">
      <c r="A425" s="5"/>
      <c r="B425" s="1">
        <v>1102</v>
      </c>
      <c r="C425" s="2">
        <v>45818</v>
      </c>
      <c r="D425" s="1" t="s">
        <v>24</v>
      </c>
      <c r="E425" s="1">
        <v>5</v>
      </c>
      <c r="F425" s="1" t="s">
        <v>10</v>
      </c>
      <c r="G425" s="1">
        <v>54.65</v>
      </c>
      <c r="H425" s="1">
        <v>273.24</v>
      </c>
      <c r="I425" s="1" t="s">
        <v>107</v>
      </c>
      <c r="J425" s="1" t="s">
        <v>108</v>
      </c>
      <c r="K425" s="1" t="s">
        <v>109</v>
      </c>
    </row>
    <row r="426" spans="1:11" ht="15.6" x14ac:dyDescent="0.3">
      <c r="A426" s="5"/>
      <c r="B426" s="3">
        <v>1439</v>
      </c>
      <c r="C426" s="4">
        <v>45821</v>
      </c>
      <c r="D426" s="3" t="s">
        <v>24</v>
      </c>
      <c r="E426" s="3">
        <v>4</v>
      </c>
      <c r="F426" s="3" t="s">
        <v>18</v>
      </c>
      <c r="G426" s="3">
        <v>56.5</v>
      </c>
      <c r="H426" s="3">
        <v>226.01</v>
      </c>
      <c r="I426" s="3" t="s">
        <v>107</v>
      </c>
      <c r="J426" s="3" t="s">
        <v>108</v>
      </c>
      <c r="K426" s="3" t="s">
        <v>109</v>
      </c>
    </row>
    <row r="427" spans="1:11" ht="15.6" x14ac:dyDescent="0.3">
      <c r="A427" s="5"/>
      <c r="B427" s="1">
        <v>1343</v>
      </c>
      <c r="C427" s="2">
        <v>45822</v>
      </c>
      <c r="D427" s="1" t="s">
        <v>14</v>
      </c>
      <c r="E427" s="1">
        <v>3</v>
      </c>
      <c r="F427" s="1" t="s">
        <v>15</v>
      </c>
      <c r="G427" s="1">
        <v>21.9</v>
      </c>
      <c r="H427" s="1">
        <v>65.709999999999994</v>
      </c>
      <c r="I427" s="1" t="s">
        <v>107</v>
      </c>
      <c r="J427" s="1" t="s">
        <v>108</v>
      </c>
      <c r="K427" s="1" t="s">
        <v>109</v>
      </c>
    </row>
    <row r="428" spans="1:11" ht="15.6" x14ac:dyDescent="0.3">
      <c r="A428" s="5"/>
      <c r="B428" s="3">
        <v>1176</v>
      </c>
      <c r="C428" s="4">
        <v>45823</v>
      </c>
      <c r="D428" s="3" t="s">
        <v>16</v>
      </c>
      <c r="E428" s="3">
        <v>5</v>
      </c>
      <c r="F428" s="3" t="s">
        <v>21</v>
      </c>
      <c r="G428" s="3">
        <v>26.33</v>
      </c>
      <c r="H428" s="3">
        <v>131.65</v>
      </c>
      <c r="I428" s="3" t="s">
        <v>107</v>
      </c>
      <c r="J428" s="3" t="s">
        <v>108</v>
      </c>
      <c r="K428" s="3" t="s">
        <v>109</v>
      </c>
    </row>
    <row r="429" spans="1:11" ht="15.6" x14ac:dyDescent="0.3">
      <c r="A429" s="5"/>
      <c r="B429" s="1">
        <v>1310</v>
      </c>
      <c r="C429" s="2">
        <v>45823</v>
      </c>
      <c r="D429" s="1" t="s">
        <v>14</v>
      </c>
      <c r="E429" s="1">
        <v>5</v>
      </c>
      <c r="F429" s="1" t="s">
        <v>21</v>
      </c>
      <c r="G429" s="1">
        <v>21.46</v>
      </c>
      <c r="H429" s="1">
        <v>107.31</v>
      </c>
      <c r="I429" s="1" t="s">
        <v>107</v>
      </c>
      <c r="J429" s="1" t="s">
        <v>108</v>
      </c>
      <c r="K429" s="1" t="s">
        <v>109</v>
      </c>
    </row>
    <row r="430" spans="1:11" ht="15.6" x14ac:dyDescent="0.3">
      <c r="A430" s="5"/>
      <c r="B430" s="3">
        <v>1039</v>
      </c>
      <c r="C430" s="4">
        <v>45824</v>
      </c>
      <c r="D430" s="3" t="s">
        <v>24</v>
      </c>
      <c r="E430" s="3">
        <v>5</v>
      </c>
      <c r="F430" s="3" t="s">
        <v>21</v>
      </c>
      <c r="G430" s="3">
        <v>55.67</v>
      </c>
      <c r="H430" s="3">
        <v>278.35000000000002</v>
      </c>
      <c r="I430" s="3" t="s">
        <v>107</v>
      </c>
      <c r="J430" s="3" t="s">
        <v>108</v>
      </c>
      <c r="K430" s="3" t="s">
        <v>109</v>
      </c>
    </row>
    <row r="431" spans="1:11" ht="15.6" x14ac:dyDescent="0.3">
      <c r="A431" s="5"/>
      <c r="B431" s="1">
        <v>1258</v>
      </c>
      <c r="C431" s="2">
        <v>45829</v>
      </c>
      <c r="D431" s="1" t="s">
        <v>17</v>
      </c>
      <c r="E431" s="1">
        <v>5</v>
      </c>
      <c r="F431" s="1" t="s">
        <v>15</v>
      </c>
      <c r="G431" s="1">
        <v>18.3</v>
      </c>
      <c r="H431" s="1">
        <v>91.52</v>
      </c>
      <c r="I431" s="1" t="s">
        <v>107</v>
      </c>
      <c r="J431" s="1" t="s">
        <v>108</v>
      </c>
      <c r="K431" s="1" t="s">
        <v>109</v>
      </c>
    </row>
    <row r="432" spans="1:11" ht="15.6" x14ac:dyDescent="0.3">
      <c r="A432" s="5"/>
      <c r="B432" s="3">
        <v>1485</v>
      </c>
      <c r="C432" s="4">
        <v>45835</v>
      </c>
      <c r="D432" s="3" t="s">
        <v>19</v>
      </c>
      <c r="E432" s="3">
        <v>7</v>
      </c>
      <c r="F432" s="3" t="s">
        <v>21</v>
      </c>
      <c r="G432" s="3">
        <v>35.06</v>
      </c>
      <c r="H432" s="3">
        <v>245.45</v>
      </c>
      <c r="I432" s="3" t="s">
        <v>107</v>
      </c>
      <c r="J432" s="3" t="s">
        <v>108</v>
      </c>
      <c r="K432" s="3" t="s">
        <v>109</v>
      </c>
    </row>
    <row r="433" spans="1:11" ht="15.6" x14ac:dyDescent="0.3">
      <c r="A433" s="5"/>
      <c r="B433" s="1">
        <v>1324</v>
      </c>
      <c r="C433" s="2">
        <v>45838</v>
      </c>
      <c r="D433" s="1" t="s">
        <v>19</v>
      </c>
      <c r="E433" s="1">
        <v>3</v>
      </c>
      <c r="F433" s="1" t="s">
        <v>18</v>
      </c>
      <c r="G433" s="1">
        <v>32.9</v>
      </c>
      <c r="H433" s="1">
        <v>98.71</v>
      </c>
      <c r="I433" s="1" t="s">
        <v>107</v>
      </c>
      <c r="J433" s="1" t="s">
        <v>108</v>
      </c>
      <c r="K433" s="1" t="s">
        <v>109</v>
      </c>
    </row>
    <row r="434" spans="1:11" ht="15.6" x14ac:dyDescent="0.3">
      <c r="A434" s="5"/>
      <c r="B434" s="3">
        <v>1417</v>
      </c>
      <c r="C434" s="4">
        <v>45839</v>
      </c>
      <c r="D434" s="3" t="s">
        <v>16</v>
      </c>
      <c r="E434" s="3">
        <v>5</v>
      </c>
      <c r="F434" s="3" t="s">
        <v>21</v>
      </c>
      <c r="G434" s="3">
        <v>26.49</v>
      </c>
      <c r="H434" s="3">
        <v>132.47</v>
      </c>
      <c r="I434" s="3" t="s">
        <v>110</v>
      </c>
      <c r="J434" s="3" t="s">
        <v>111</v>
      </c>
      <c r="K434" s="3" t="s">
        <v>112</v>
      </c>
    </row>
    <row r="435" spans="1:11" ht="15.6" x14ac:dyDescent="0.3">
      <c r="A435" s="5"/>
      <c r="B435" s="1">
        <v>1193</v>
      </c>
      <c r="C435" s="2">
        <v>45840</v>
      </c>
      <c r="D435" s="1" t="s">
        <v>16</v>
      </c>
      <c r="E435" s="1">
        <v>3</v>
      </c>
      <c r="F435" s="1" t="s">
        <v>21</v>
      </c>
      <c r="G435" s="1">
        <v>26.37</v>
      </c>
      <c r="H435" s="1">
        <v>79.099999999999994</v>
      </c>
      <c r="I435" s="1" t="s">
        <v>110</v>
      </c>
      <c r="J435" s="1" t="s">
        <v>111</v>
      </c>
      <c r="K435" s="1" t="s">
        <v>112</v>
      </c>
    </row>
    <row r="436" spans="1:11" ht="15.6" x14ac:dyDescent="0.3">
      <c r="A436" s="5"/>
      <c r="B436" s="3">
        <v>1373</v>
      </c>
      <c r="C436" s="4">
        <v>45846</v>
      </c>
      <c r="D436" s="3" t="s">
        <v>23</v>
      </c>
      <c r="E436" s="3">
        <v>5</v>
      </c>
      <c r="F436" s="3" t="s">
        <v>21</v>
      </c>
      <c r="G436" s="3">
        <v>14.78</v>
      </c>
      <c r="H436" s="3">
        <v>73.92</v>
      </c>
      <c r="I436" s="3" t="s">
        <v>110</v>
      </c>
      <c r="J436" s="3" t="s">
        <v>111</v>
      </c>
      <c r="K436" s="3" t="s">
        <v>112</v>
      </c>
    </row>
    <row r="437" spans="1:11" ht="15.6" x14ac:dyDescent="0.3">
      <c r="A437" s="5"/>
      <c r="B437" s="1">
        <v>1254</v>
      </c>
      <c r="C437" s="2">
        <v>45847</v>
      </c>
      <c r="D437" s="1" t="s">
        <v>24</v>
      </c>
      <c r="E437" s="1">
        <v>4</v>
      </c>
      <c r="F437" s="1" t="s">
        <v>15</v>
      </c>
      <c r="G437" s="1">
        <v>53.83</v>
      </c>
      <c r="H437" s="1">
        <v>215.33</v>
      </c>
      <c r="I437" s="1" t="s">
        <v>110</v>
      </c>
      <c r="J437" s="1" t="s">
        <v>111</v>
      </c>
      <c r="K437" s="1" t="s">
        <v>112</v>
      </c>
    </row>
    <row r="438" spans="1:11" ht="15.6" x14ac:dyDescent="0.3">
      <c r="A438" s="5"/>
      <c r="B438" s="3">
        <v>1484</v>
      </c>
      <c r="C438" s="4">
        <v>45851</v>
      </c>
      <c r="D438" s="3" t="s">
        <v>24</v>
      </c>
      <c r="E438" s="3">
        <v>3</v>
      </c>
      <c r="F438" s="3" t="s">
        <v>10</v>
      </c>
      <c r="G438" s="3">
        <v>52.81</v>
      </c>
      <c r="H438" s="3">
        <v>158.41999999999999</v>
      </c>
      <c r="I438" s="3" t="s">
        <v>110</v>
      </c>
      <c r="J438" s="3" t="s">
        <v>111</v>
      </c>
      <c r="K438" s="3" t="s">
        <v>112</v>
      </c>
    </row>
    <row r="439" spans="1:11" ht="15.6" x14ac:dyDescent="0.3">
      <c r="A439" s="5"/>
      <c r="B439" s="1">
        <v>1239</v>
      </c>
      <c r="C439" s="2">
        <v>45854</v>
      </c>
      <c r="D439" s="1" t="s">
        <v>17</v>
      </c>
      <c r="E439" s="1">
        <v>3</v>
      </c>
      <c r="F439" s="1" t="s">
        <v>21</v>
      </c>
      <c r="G439" s="1">
        <v>19.100000000000001</v>
      </c>
      <c r="H439" s="1">
        <v>57.31</v>
      </c>
      <c r="I439" s="1" t="s">
        <v>110</v>
      </c>
      <c r="J439" s="1" t="s">
        <v>111</v>
      </c>
      <c r="K439" s="1" t="s">
        <v>112</v>
      </c>
    </row>
    <row r="440" spans="1:11" ht="15.6" x14ac:dyDescent="0.3">
      <c r="A440" s="5"/>
      <c r="B440" s="3">
        <v>1162</v>
      </c>
      <c r="C440" s="4">
        <v>45855</v>
      </c>
      <c r="D440" s="3" t="s">
        <v>9</v>
      </c>
      <c r="E440" s="3">
        <v>3</v>
      </c>
      <c r="F440" s="3" t="s">
        <v>21</v>
      </c>
      <c r="G440" s="3">
        <v>65.48</v>
      </c>
      <c r="H440" s="3">
        <v>196.45</v>
      </c>
      <c r="I440" s="3" t="s">
        <v>110</v>
      </c>
      <c r="J440" s="3" t="s">
        <v>111</v>
      </c>
      <c r="K440" s="3" t="s">
        <v>112</v>
      </c>
    </row>
    <row r="441" spans="1:11" ht="15.6" x14ac:dyDescent="0.3">
      <c r="A441" s="5"/>
      <c r="B441" s="1">
        <v>1480</v>
      </c>
      <c r="C441" s="2">
        <v>45855</v>
      </c>
      <c r="D441" s="1" t="s">
        <v>17</v>
      </c>
      <c r="E441" s="1">
        <v>2</v>
      </c>
      <c r="F441" s="1" t="s">
        <v>10</v>
      </c>
      <c r="G441" s="1">
        <v>17.54</v>
      </c>
      <c r="H441" s="1">
        <v>35.08</v>
      </c>
      <c r="I441" s="1" t="s">
        <v>110</v>
      </c>
      <c r="J441" s="1" t="s">
        <v>111</v>
      </c>
      <c r="K441" s="1" t="s">
        <v>112</v>
      </c>
    </row>
    <row r="442" spans="1:11" ht="15.6" x14ac:dyDescent="0.3">
      <c r="A442" s="5"/>
      <c r="B442" s="3">
        <v>1446</v>
      </c>
      <c r="C442" s="4">
        <v>45855</v>
      </c>
      <c r="D442" s="3" t="s">
        <v>14</v>
      </c>
      <c r="E442" s="3">
        <v>5</v>
      </c>
      <c r="F442" s="3" t="s">
        <v>10</v>
      </c>
      <c r="G442" s="3">
        <v>20.81</v>
      </c>
      <c r="H442" s="3">
        <v>104.03</v>
      </c>
      <c r="I442" s="3" t="s">
        <v>110</v>
      </c>
      <c r="J442" s="3" t="s">
        <v>111</v>
      </c>
      <c r="K442" s="3" t="s">
        <v>112</v>
      </c>
    </row>
    <row r="443" spans="1:11" ht="15.6" x14ac:dyDescent="0.3">
      <c r="A443" s="5"/>
      <c r="B443" s="1">
        <v>1084</v>
      </c>
      <c r="C443" s="2">
        <v>45856</v>
      </c>
      <c r="D443" s="1" t="s">
        <v>28</v>
      </c>
      <c r="E443" s="1">
        <v>4</v>
      </c>
      <c r="F443" s="1" t="s">
        <v>18</v>
      </c>
      <c r="G443" s="1">
        <v>42.87</v>
      </c>
      <c r="H443" s="1">
        <v>171.5</v>
      </c>
      <c r="I443" s="1" t="s">
        <v>110</v>
      </c>
      <c r="J443" s="1" t="s">
        <v>111</v>
      </c>
      <c r="K443" s="1" t="s">
        <v>112</v>
      </c>
    </row>
    <row r="444" spans="1:11" ht="15.6" x14ac:dyDescent="0.3">
      <c r="A444" s="5"/>
      <c r="B444" s="3">
        <v>1447</v>
      </c>
      <c r="C444" s="4">
        <v>45860</v>
      </c>
      <c r="D444" s="3" t="s">
        <v>17</v>
      </c>
      <c r="E444" s="3">
        <v>5</v>
      </c>
      <c r="F444" s="3" t="s">
        <v>10</v>
      </c>
      <c r="G444" s="3">
        <v>18.64</v>
      </c>
      <c r="H444" s="3">
        <v>93.19</v>
      </c>
      <c r="I444" s="3" t="s">
        <v>110</v>
      </c>
      <c r="J444" s="3" t="s">
        <v>111</v>
      </c>
      <c r="K444" s="3" t="s">
        <v>112</v>
      </c>
    </row>
    <row r="445" spans="1:11" ht="15.6" x14ac:dyDescent="0.3">
      <c r="A445" s="5"/>
      <c r="B445" s="1">
        <v>1406</v>
      </c>
      <c r="C445" s="2">
        <v>45861</v>
      </c>
      <c r="D445" s="1" t="s">
        <v>20</v>
      </c>
      <c r="E445" s="1">
        <v>5</v>
      </c>
      <c r="F445" s="1" t="s">
        <v>21</v>
      </c>
      <c r="G445" s="1">
        <v>8.2200000000000006</v>
      </c>
      <c r="H445" s="1">
        <v>41.1</v>
      </c>
      <c r="I445" s="1" t="s">
        <v>110</v>
      </c>
      <c r="J445" s="1" t="s">
        <v>111</v>
      </c>
      <c r="K445" s="1" t="s">
        <v>112</v>
      </c>
    </row>
    <row r="446" spans="1:11" ht="15.6" x14ac:dyDescent="0.3">
      <c r="A446" s="5"/>
      <c r="B446" s="3">
        <v>1293</v>
      </c>
      <c r="C446" s="4">
        <v>45862</v>
      </c>
      <c r="D446" s="3" t="s">
        <v>19</v>
      </c>
      <c r="E446" s="3">
        <v>2</v>
      </c>
      <c r="F446" s="3" t="s">
        <v>15</v>
      </c>
      <c r="G446" s="3">
        <v>33.53</v>
      </c>
      <c r="H446" s="3">
        <v>67.069999999999993</v>
      </c>
      <c r="I446" s="3" t="s">
        <v>110</v>
      </c>
      <c r="J446" s="3" t="s">
        <v>111</v>
      </c>
      <c r="K446" s="3" t="s">
        <v>112</v>
      </c>
    </row>
    <row r="447" spans="1:11" ht="15.6" x14ac:dyDescent="0.3">
      <c r="A447" s="5"/>
      <c r="B447" s="1">
        <v>1419</v>
      </c>
      <c r="C447" s="2">
        <v>45872</v>
      </c>
      <c r="D447" s="1" t="s">
        <v>17</v>
      </c>
      <c r="E447" s="1">
        <v>3</v>
      </c>
      <c r="F447" s="1" t="s">
        <v>18</v>
      </c>
      <c r="G447" s="1">
        <v>17.7</v>
      </c>
      <c r="H447" s="1">
        <v>53.09</v>
      </c>
      <c r="I447" s="1" t="s">
        <v>113</v>
      </c>
      <c r="J447" s="1" t="s">
        <v>114</v>
      </c>
      <c r="K447" s="1" t="s">
        <v>115</v>
      </c>
    </row>
    <row r="448" spans="1:11" ht="15.6" x14ac:dyDescent="0.3">
      <c r="A448" s="5"/>
      <c r="B448" s="3">
        <v>1402</v>
      </c>
      <c r="C448" s="4">
        <v>45874</v>
      </c>
      <c r="D448" s="3" t="s">
        <v>24</v>
      </c>
      <c r="E448" s="3">
        <v>6</v>
      </c>
      <c r="F448" s="3" t="s">
        <v>10</v>
      </c>
      <c r="G448" s="3">
        <v>49.3</v>
      </c>
      <c r="H448" s="3">
        <v>295.79000000000002</v>
      </c>
      <c r="I448" s="3" t="s">
        <v>113</v>
      </c>
      <c r="J448" s="3" t="s">
        <v>114</v>
      </c>
      <c r="K448" s="3" t="s">
        <v>115</v>
      </c>
    </row>
    <row r="449" spans="1:11" ht="15.6" x14ac:dyDescent="0.3">
      <c r="A449" s="5"/>
      <c r="B449" s="1">
        <v>1130</v>
      </c>
      <c r="C449" s="2">
        <v>45878</v>
      </c>
      <c r="D449" s="1" t="s">
        <v>28</v>
      </c>
      <c r="E449" s="1">
        <v>2</v>
      </c>
      <c r="F449" s="1" t="s">
        <v>21</v>
      </c>
      <c r="G449" s="1">
        <v>48.66</v>
      </c>
      <c r="H449" s="1">
        <v>97.32</v>
      </c>
      <c r="I449" s="1" t="s">
        <v>113</v>
      </c>
      <c r="J449" s="1" t="s">
        <v>114</v>
      </c>
      <c r="K449" s="1" t="s">
        <v>115</v>
      </c>
    </row>
    <row r="450" spans="1:11" ht="15.6" x14ac:dyDescent="0.3">
      <c r="A450" s="5"/>
      <c r="B450" s="3">
        <v>1415</v>
      </c>
      <c r="C450" s="4">
        <v>45880</v>
      </c>
      <c r="D450" s="3" t="s">
        <v>28</v>
      </c>
      <c r="E450" s="3">
        <v>4</v>
      </c>
      <c r="F450" s="3" t="s">
        <v>10</v>
      </c>
      <c r="G450" s="3">
        <v>44.3</v>
      </c>
      <c r="H450" s="3">
        <v>177.2</v>
      </c>
      <c r="I450" s="3" t="s">
        <v>113</v>
      </c>
      <c r="J450" s="3" t="s">
        <v>114</v>
      </c>
      <c r="K450" s="3" t="s">
        <v>115</v>
      </c>
    </row>
    <row r="451" spans="1:11" ht="15.6" x14ac:dyDescent="0.3">
      <c r="A451" s="5"/>
      <c r="B451" s="1">
        <v>1206</v>
      </c>
      <c r="C451" s="2">
        <v>45881</v>
      </c>
      <c r="D451" s="1" t="s">
        <v>17</v>
      </c>
      <c r="E451" s="1">
        <v>5</v>
      </c>
      <c r="F451" s="1" t="s">
        <v>10</v>
      </c>
      <c r="G451" s="1">
        <v>18.78</v>
      </c>
      <c r="H451" s="1">
        <v>93.89</v>
      </c>
      <c r="I451" s="1" t="s">
        <v>113</v>
      </c>
      <c r="J451" s="1" t="s">
        <v>114</v>
      </c>
      <c r="K451" s="1" t="s">
        <v>115</v>
      </c>
    </row>
    <row r="452" spans="1:11" ht="15.6" x14ac:dyDescent="0.3">
      <c r="A452" s="5"/>
      <c r="B452" s="3">
        <v>1157</v>
      </c>
      <c r="C452" s="4">
        <v>45881</v>
      </c>
      <c r="D452" s="3" t="s">
        <v>19</v>
      </c>
      <c r="E452" s="3">
        <v>3</v>
      </c>
      <c r="F452" s="3" t="s">
        <v>18</v>
      </c>
      <c r="G452" s="3">
        <v>37.69</v>
      </c>
      <c r="H452" s="3">
        <v>113.07</v>
      </c>
      <c r="I452" s="3" t="s">
        <v>113</v>
      </c>
      <c r="J452" s="3" t="s">
        <v>114</v>
      </c>
      <c r="K452" s="3" t="s">
        <v>115</v>
      </c>
    </row>
    <row r="453" spans="1:11" ht="15.6" x14ac:dyDescent="0.3">
      <c r="A453" s="5"/>
      <c r="B453" s="1">
        <v>1041</v>
      </c>
      <c r="C453" s="2">
        <v>45882</v>
      </c>
      <c r="D453" s="1" t="s">
        <v>22</v>
      </c>
      <c r="E453" s="1">
        <v>2</v>
      </c>
      <c r="F453" s="1" t="s">
        <v>21</v>
      </c>
      <c r="G453" s="1">
        <v>10.6</v>
      </c>
      <c r="H453" s="1">
        <v>21.19</v>
      </c>
      <c r="I453" s="1" t="s">
        <v>113</v>
      </c>
      <c r="J453" s="1" t="s">
        <v>114</v>
      </c>
      <c r="K453" s="1" t="s">
        <v>115</v>
      </c>
    </row>
    <row r="454" spans="1:11" ht="15.6" x14ac:dyDescent="0.3">
      <c r="A454" s="5"/>
      <c r="B454" s="3">
        <v>1011</v>
      </c>
      <c r="C454" s="4">
        <v>45882</v>
      </c>
      <c r="D454" s="3" t="s">
        <v>28</v>
      </c>
      <c r="E454" s="3">
        <v>3</v>
      </c>
      <c r="F454" s="3" t="s">
        <v>21</v>
      </c>
      <c r="G454" s="3">
        <v>47.71</v>
      </c>
      <c r="H454" s="3">
        <v>143.13999999999999</v>
      </c>
      <c r="I454" s="3" t="s">
        <v>113</v>
      </c>
      <c r="J454" s="3" t="s">
        <v>114</v>
      </c>
      <c r="K454" s="3" t="s">
        <v>115</v>
      </c>
    </row>
    <row r="455" spans="1:11" ht="15.6" x14ac:dyDescent="0.3">
      <c r="A455" s="5"/>
      <c r="B455" s="1">
        <v>1197</v>
      </c>
      <c r="C455" s="2">
        <v>45883</v>
      </c>
      <c r="D455" s="1" t="s">
        <v>28</v>
      </c>
      <c r="E455" s="1">
        <v>4</v>
      </c>
      <c r="F455" s="1" t="s">
        <v>21</v>
      </c>
      <c r="G455" s="1">
        <v>47.08</v>
      </c>
      <c r="H455" s="1">
        <v>188.31</v>
      </c>
      <c r="I455" s="1" t="s">
        <v>113</v>
      </c>
      <c r="J455" s="1" t="s">
        <v>114</v>
      </c>
      <c r="K455" s="1" t="s">
        <v>115</v>
      </c>
    </row>
    <row r="456" spans="1:11" ht="15.6" x14ac:dyDescent="0.3">
      <c r="A456" s="5"/>
      <c r="B456" s="3">
        <v>1348</v>
      </c>
      <c r="C456" s="4">
        <v>45883</v>
      </c>
      <c r="D456" s="3" t="s">
        <v>16</v>
      </c>
      <c r="E456" s="3">
        <v>5</v>
      </c>
      <c r="F456" s="3" t="s">
        <v>21</v>
      </c>
      <c r="G456" s="3">
        <v>24.34</v>
      </c>
      <c r="H456" s="3">
        <v>121.71</v>
      </c>
      <c r="I456" s="3" t="s">
        <v>113</v>
      </c>
      <c r="J456" s="3" t="s">
        <v>114</v>
      </c>
      <c r="K456" s="3" t="s">
        <v>115</v>
      </c>
    </row>
    <row r="457" spans="1:11" ht="15.6" x14ac:dyDescent="0.3">
      <c r="A457" s="5"/>
      <c r="B457" s="1">
        <v>1321</v>
      </c>
      <c r="C457" s="2">
        <v>45884</v>
      </c>
      <c r="D457" s="1" t="s">
        <v>19</v>
      </c>
      <c r="E457" s="1">
        <v>2</v>
      </c>
      <c r="F457" s="1" t="s">
        <v>21</v>
      </c>
      <c r="G457" s="1">
        <v>34.51</v>
      </c>
      <c r="H457" s="1">
        <v>69.010000000000005</v>
      </c>
      <c r="I457" s="1" t="s">
        <v>113</v>
      </c>
      <c r="J457" s="1" t="s">
        <v>114</v>
      </c>
      <c r="K457" s="1" t="s">
        <v>115</v>
      </c>
    </row>
    <row r="458" spans="1:11" ht="15.6" x14ac:dyDescent="0.3">
      <c r="A458" s="5"/>
      <c r="B458" s="3">
        <v>1023</v>
      </c>
      <c r="C458" s="4">
        <v>45884</v>
      </c>
      <c r="D458" s="3" t="s">
        <v>16</v>
      </c>
      <c r="E458" s="3">
        <v>3</v>
      </c>
      <c r="F458" s="3" t="s">
        <v>15</v>
      </c>
      <c r="G458" s="3">
        <v>25.72</v>
      </c>
      <c r="H458" s="3">
        <v>77.16</v>
      </c>
      <c r="I458" s="3" t="s">
        <v>113</v>
      </c>
      <c r="J458" s="3" t="s">
        <v>114</v>
      </c>
      <c r="K458" s="3" t="s">
        <v>115</v>
      </c>
    </row>
    <row r="459" spans="1:11" ht="15.6" x14ac:dyDescent="0.3">
      <c r="A459" s="5"/>
      <c r="B459" s="1">
        <v>1025</v>
      </c>
      <c r="C459" s="2">
        <v>45884</v>
      </c>
      <c r="D459" s="1" t="s">
        <v>20</v>
      </c>
      <c r="E459" s="1">
        <v>6</v>
      </c>
      <c r="F459" s="1" t="s">
        <v>21</v>
      </c>
      <c r="G459" s="1">
        <v>7.84</v>
      </c>
      <c r="H459" s="1">
        <v>47.06</v>
      </c>
      <c r="I459" s="1" t="s">
        <v>113</v>
      </c>
      <c r="J459" s="1" t="s">
        <v>114</v>
      </c>
      <c r="K459" s="1" t="s">
        <v>115</v>
      </c>
    </row>
    <row r="460" spans="1:11" ht="15.6" x14ac:dyDescent="0.3">
      <c r="A460" s="5"/>
      <c r="B460" s="3">
        <v>1479</v>
      </c>
      <c r="C460" s="4">
        <v>45885</v>
      </c>
      <c r="D460" s="3" t="s">
        <v>22</v>
      </c>
      <c r="E460" s="3">
        <v>4</v>
      </c>
      <c r="F460" s="3" t="s">
        <v>21</v>
      </c>
      <c r="G460" s="3">
        <v>12.42</v>
      </c>
      <c r="H460" s="3">
        <v>49.69</v>
      </c>
      <c r="I460" s="3" t="s">
        <v>113</v>
      </c>
      <c r="J460" s="3" t="s">
        <v>114</v>
      </c>
      <c r="K460" s="3" t="s">
        <v>115</v>
      </c>
    </row>
    <row r="461" spans="1:11" ht="15.6" x14ac:dyDescent="0.3">
      <c r="A461" s="5"/>
      <c r="B461" s="1">
        <v>1218</v>
      </c>
      <c r="C461" s="2">
        <v>45886</v>
      </c>
      <c r="D461" s="1" t="s">
        <v>14</v>
      </c>
      <c r="E461" s="1">
        <v>5</v>
      </c>
      <c r="F461" s="1" t="s">
        <v>15</v>
      </c>
      <c r="G461" s="1">
        <v>22.8</v>
      </c>
      <c r="H461" s="1">
        <v>113.99</v>
      </c>
      <c r="I461" s="1" t="s">
        <v>113</v>
      </c>
      <c r="J461" s="1" t="s">
        <v>114</v>
      </c>
      <c r="K461" s="1" t="s">
        <v>115</v>
      </c>
    </row>
    <row r="462" spans="1:11" ht="15.6" x14ac:dyDescent="0.3">
      <c r="A462" s="5"/>
      <c r="B462" s="3">
        <v>1091</v>
      </c>
      <c r="C462" s="4">
        <v>45887</v>
      </c>
      <c r="D462" s="3" t="s">
        <v>16</v>
      </c>
      <c r="E462" s="3">
        <v>3</v>
      </c>
      <c r="F462" s="3" t="s">
        <v>15</v>
      </c>
      <c r="G462" s="3">
        <v>23.8</v>
      </c>
      <c r="H462" s="3">
        <v>71.39</v>
      </c>
      <c r="I462" s="3" t="s">
        <v>113</v>
      </c>
      <c r="J462" s="3" t="s">
        <v>114</v>
      </c>
      <c r="K462" s="3" t="s">
        <v>115</v>
      </c>
    </row>
    <row r="463" spans="1:11" ht="15.6" x14ac:dyDescent="0.3">
      <c r="A463" s="5"/>
      <c r="B463" s="1">
        <v>1247</v>
      </c>
      <c r="C463" s="2">
        <v>45888</v>
      </c>
      <c r="D463" s="1" t="s">
        <v>19</v>
      </c>
      <c r="E463" s="1">
        <v>3</v>
      </c>
      <c r="F463" s="1" t="s">
        <v>18</v>
      </c>
      <c r="G463" s="1">
        <v>36.450000000000003</v>
      </c>
      <c r="H463" s="1">
        <v>109.35</v>
      </c>
      <c r="I463" s="1" t="s">
        <v>113</v>
      </c>
      <c r="J463" s="1" t="s">
        <v>114</v>
      </c>
      <c r="K463" s="1" t="s">
        <v>115</v>
      </c>
    </row>
    <row r="464" spans="1:11" ht="15.6" x14ac:dyDescent="0.3">
      <c r="A464" s="5"/>
      <c r="B464" s="3">
        <v>1464</v>
      </c>
      <c r="C464" s="4">
        <v>45894</v>
      </c>
      <c r="D464" s="3" t="s">
        <v>28</v>
      </c>
      <c r="E464" s="3">
        <v>4</v>
      </c>
      <c r="F464" s="3" t="s">
        <v>15</v>
      </c>
      <c r="G464" s="3">
        <v>46.6</v>
      </c>
      <c r="H464" s="3">
        <v>186.42</v>
      </c>
      <c r="I464" s="3" t="s">
        <v>113</v>
      </c>
      <c r="J464" s="3" t="s">
        <v>114</v>
      </c>
      <c r="K464" s="3" t="s">
        <v>115</v>
      </c>
    </row>
    <row r="465" spans="1:11" ht="15.6" x14ac:dyDescent="0.3">
      <c r="A465" s="5"/>
      <c r="B465" s="1">
        <v>1361</v>
      </c>
      <c r="C465" s="2">
        <v>45896</v>
      </c>
      <c r="D465" s="1" t="s">
        <v>28</v>
      </c>
      <c r="E465" s="1">
        <v>4</v>
      </c>
      <c r="F465" s="1" t="s">
        <v>21</v>
      </c>
      <c r="G465" s="1">
        <v>47.69</v>
      </c>
      <c r="H465" s="1">
        <v>190.77</v>
      </c>
      <c r="I465" s="1" t="s">
        <v>113</v>
      </c>
      <c r="J465" s="1" t="s">
        <v>114</v>
      </c>
      <c r="K465" s="1" t="s">
        <v>115</v>
      </c>
    </row>
    <row r="466" spans="1:11" ht="15.6" x14ac:dyDescent="0.3">
      <c r="A466" s="5"/>
      <c r="B466" s="3">
        <v>1461</v>
      </c>
      <c r="C466" s="4">
        <v>45897</v>
      </c>
      <c r="D466" s="3" t="s">
        <v>17</v>
      </c>
      <c r="E466" s="3">
        <v>3</v>
      </c>
      <c r="F466" s="3" t="s">
        <v>15</v>
      </c>
      <c r="G466" s="3">
        <v>19.41</v>
      </c>
      <c r="H466" s="3">
        <v>58.24</v>
      </c>
      <c r="I466" s="3" t="s">
        <v>113</v>
      </c>
      <c r="J466" s="3" t="s">
        <v>114</v>
      </c>
      <c r="K466" s="3" t="s">
        <v>115</v>
      </c>
    </row>
    <row r="467" spans="1:11" ht="15.6" x14ac:dyDescent="0.3">
      <c r="A467" s="5"/>
      <c r="B467" s="1">
        <v>1266</v>
      </c>
      <c r="C467" s="2">
        <v>45898</v>
      </c>
      <c r="D467" s="1" t="s">
        <v>20</v>
      </c>
      <c r="E467" s="1">
        <v>3</v>
      </c>
      <c r="F467" s="1" t="s">
        <v>15</v>
      </c>
      <c r="G467" s="1">
        <v>9</v>
      </c>
      <c r="H467" s="1">
        <v>27.01</v>
      </c>
      <c r="I467" s="1" t="s">
        <v>113</v>
      </c>
      <c r="J467" s="1" t="s">
        <v>114</v>
      </c>
      <c r="K467" s="1" t="s">
        <v>115</v>
      </c>
    </row>
    <row r="468" spans="1:11" ht="15.6" x14ac:dyDescent="0.3">
      <c r="A468" s="5"/>
      <c r="B468" s="3">
        <v>1466</v>
      </c>
      <c r="C468" s="4">
        <v>45898</v>
      </c>
      <c r="D468" s="3" t="s">
        <v>23</v>
      </c>
      <c r="E468" s="3">
        <v>2</v>
      </c>
      <c r="F468" s="3" t="s">
        <v>18</v>
      </c>
      <c r="G468" s="3">
        <v>14.79</v>
      </c>
      <c r="H468" s="3">
        <v>29.59</v>
      </c>
      <c r="I468" s="3" t="s">
        <v>113</v>
      </c>
      <c r="J468" s="3" t="s">
        <v>114</v>
      </c>
      <c r="K468" s="3" t="s">
        <v>115</v>
      </c>
    </row>
    <row r="469" spans="1:11" ht="15.6" x14ac:dyDescent="0.3">
      <c r="A469" s="5"/>
      <c r="B469" s="1">
        <v>1122</v>
      </c>
      <c r="C469" s="2">
        <v>45899</v>
      </c>
      <c r="D469" s="1" t="s">
        <v>28</v>
      </c>
      <c r="E469" s="1">
        <v>4</v>
      </c>
      <c r="F469" s="1" t="s">
        <v>15</v>
      </c>
      <c r="G469" s="1">
        <v>49.55</v>
      </c>
      <c r="H469" s="1">
        <v>198.18</v>
      </c>
      <c r="I469" s="1" t="s">
        <v>113</v>
      </c>
      <c r="J469" s="1" t="s">
        <v>114</v>
      </c>
      <c r="K469" s="1" t="s">
        <v>115</v>
      </c>
    </row>
    <row r="470" spans="1:11" ht="15.6" x14ac:dyDescent="0.3">
      <c r="A470" s="5"/>
      <c r="B470" s="3">
        <v>1021</v>
      </c>
      <c r="C470" s="4">
        <v>45902</v>
      </c>
      <c r="D470" s="3" t="s">
        <v>14</v>
      </c>
      <c r="E470" s="3">
        <v>2</v>
      </c>
      <c r="F470" s="3" t="s">
        <v>15</v>
      </c>
      <c r="G470" s="3">
        <v>22.52</v>
      </c>
      <c r="H470" s="3">
        <v>45.04</v>
      </c>
      <c r="I470" s="3" t="s">
        <v>116</v>
      </c>
      <c r="J470" s="3" t="s">
        <v>117</v>
      </c>
      <c r="K470" s="3" t="s">
        <v>118</v>
      </c>
    </row>
    <row r="471" spans="1:11" ht="15.6" x14ac:dyDescent="0.3">
      <c r="A471" s="5"/>
      <c r="B471" s="1">
        <v>1376</v>
      </c>
      <c r="C471" s="2">
        <v>45904</v>
      </c>
      <c r="D471" s="1" t="s">
        <v>14</v>
      </c>
      <c r="E471" s="1">
        <v>2</v>
      </c>
      <c r="F471" s="1" t="s">
        <v>10</v>
      </c>
      <c r="G471" s="1">
        <v>21</v>
      </c>
      <c r="H471" s="1">
        <v>42</v>
      </c>
      <c r="I471" s="1" t="s">
        <v>116</v>
      </c>
      <c r="J471" s="1" t="s">
        <v>117</v>
      </c>
      <c r="K471" s="1" t="s">
        <v>118</v>
      </c>
    </row>
    <row r="472" spans="1:11" ht="15.6" x14ac:dyDescent="0.3">
      <c r="A472" s="5"/>
      <c r="B472" s="3">
        <v>1238</v>
      </c>
      <c r="C472" s="4">
        <v>45907</v>
      </c>
      <c r="D472" s="3" t="s">
        <v>23</v>
      </c>
      <c r="E472" s="3">
        <v>1</v>
      </c>
      <c r="F472" s="3" t="s">
        <v>18</v>
      </c>
      <c r="G472" s="3">
        <v>15.59</v>
      </c>
      <c r="H472" s="3">
        <v>15.59</v>
      </c>
      <c r="I472" s="3" t="s">
        <v>116</v>
      </c>
      <c r="J472" s="3" t="s">
        <v>117</v>
      </c>
      <c r="K472" s="3" t="s">
        <v>118</v>
      </c>
    </row>
    <row r="473" spans="1:11" ht="15.6" x14ac:dyDescent="0.3">
      <c r="A473" s="5"/>
      <c r="B473" s="1">
        <v>1149</v>
      </c>
      <c r="C473" s="2">
        <v>45908</v>
      </c>
      <c r="D473" s="1" t="s">
        <v>9</v>
      </c>
      <c r="E473" s="1">
        <v>5</v>
      </c>
      <c r="F473" s="1" t="s">
        <v>18</v>
      </c>
      <c r="G473" s="1">
        <v>63.64</v>
      </c>
      <c r="H473" s="1">
        <v>318.18</v>
      </c>
      <c r="I473" s="1" t="s">
        <v>116</v>
      </c>
      <c r="J473" s="1" t="s">
        <v>117</v>
      </c>
      <c r="K473" s="1" t="s">
        <v>118</v>
      </c>
    </row>
    <row r="474" spans="1:11" ht="15.6" x14ac:dyDescent="0.3">
      <c r="A474" s="5"/>
      <c r="B474" s="3">
        <v>1288</v>
      </c>
      <c r="C474" s="4">
        <v>45918</v>
      </c>
      <c r="D474" s="3" t="s">
        <v>20</v>
      </c>
      <c r="E474" s="3">
        <v>6</v>
      </c>
      <c r="F474" s="3" t="s">
        <v>10</v>
      </c>
      <c r="G474" s="3">
        <v>8.16</v>
      </c>
      <c r="H474" s="3">
        <v>48.97</v>
      </c>
      <c r="I474" s="3" t="s">
        <v>116</v>
      </c>
      <c r="J474" s="3" t="s">
        <v>117</v>
      </c>
      <c r="K474" s="3" t="s">
        <v>118</v>
      </c>
    </row>
    <row r="475" spans="1:11" ht="15.6" x14ac:dyDescent="0.3">
      <c r="A475" s="5"/>
      <c r="B475" s="1">
        <v>1282</v>
      </c>
      <c r="C475" s="2">
        <v>45919</v>
      </c>
      <c r="D475" s="1" t="s">
        <v>28</v>
      </c>
      <c r="E475" s="1">
        <v>4</v>
      </c>
      <c r="F475" s="1" t="s">
        <v>10</v>
      </c>
      <c r="G475" s="1">
        <v>44.42</v>
      </c>
      <c r="H475" s="1">
        <v>177.67</v>
      </c>
      <c r="I475" s="1" t="s">
        <v>116</v>
      </c>
      <c r="J475" s="1" t="s">
        <v>117</v>
      </c>
      <c r="K475" s="1" t="s">
        <v>118</v>
      </c>
    </row>
    <row r="476" spans="1:11" ht="15.6" x14ac:dyDescent="0.3">
      <c r="A476" s="5"/>
      <c r="B476" s="3">
        <v>1235</v>
      </c>
      <c r="C476" s="4">
        <v>45919</v>
      </c>
      <c r="D476" s="3" t="s">
        <v>9</v>
      </c>
      <c r="E476" s="3">
        <v>5</v>
      </c>
      <c r="F476" s="3" t="s">
        <v>21</v>
      </c>
      <c r="G476" s="3">
        <v>64.459999999999994</v>
      </c>
      <c r="H476" s="3">
        <v>322.29000000000002</v>
      </c>
      <c r="I476" s="3" t="s">
        <v>116</v>
      </c>
      <c r="J476" s="3" t="s">
        <v>117</v>
      </c>
      <c r="K476" s="3" t="s">
        <v>118</v>
      </c>
    </row>
    <row r="477" spans="1:11" ht="15.6" x14ac:dyDescent="0.3">
      <c r="A477" s="5"/>
      <c r="B477" s="1">
        <v>1054</v>
      </c>
      <c r="C477" s="2">
        <v>45922</v>
      </c>
      <c r="D477" s="1" t="s">
        <v>23</v>
      </c>
      <c r="E477" s="1">
        <v>4</v>
      </c>
      <c r="F477" s="1" t="s">
        <v>10</v>
      </c>
      <c r="G477" s="1">
        <v>13.81</v>
      </c>
      <c r="H477" s="1">
        <v>55.25</v>
      </c>
      <c r="I477" s="1" t="s">
        <v>116</v>
      </c>
      <c r="J477" s="1" t="s">
        <v>117</v>
      </c>
      <c r="K477" s="1" t="s">
        <v>118</v>
      </c>
    </row>
    <row r="478" spans="1:11" ht="15.6" x14ac:dyDescent="0.3">
      <c r="A478" s="5"/>
      <c r="B478" s="3">
        <v>1317</v>
      </c>
      <c r="C478" s="4">
        <v>45923</v>
      </c>
      <c r="D478" s="3" t="s">
        <v>28</v>
      </c>
      <c r="E478" s="3">
        <v>3</v>
      </c>
      <c r="F478" s="3" t="s">
        <v>15</v>
      </c>
      <c r="G478" s="3">
        <v>42.03</v>
      </c>
      <c r="H478" s="3">
        <v>126.08</v>
      </c>
      <c r="I478" s="3" t="s">
        <v>116</v>
      </c>
      <c r="J478" s="3" t="s">
        <v>117</v>
      </c>
      <c r="K478" s="3" t="s">
        <v>118</v>
      </c>
    </row>
    <row r="479" spans="1:11" ht="15.6" x14ac:dyDescent="0.3">
      <c r="A479" s="5"/>
      <c r="B479" s="1">
        <v>1279</v>
      </c>
      <c r="C479" s="2">
        <v>45929</v>
      </c>
      <c r="D479" s="1" t="s">
        <v>19</v>
      </c>
      <c r="E479" s="1">
        <v>5</v>
      </c>
      <c r="F479" s="1" t="s">
        <v>10</v>
      </c>
      <c r="G479" s="1">
        <v>33.79</v>
      </c>
      <c r="H479" s="1">
        <v>168.94</v>
      </c>
      <c r="I479" s="1" t="s">
        <v>116</v>
      </c>
      <c r="J479" s="1" t="s">
        <v>117</v>
      </c>
      <c r="K479" s="1" t="s">
        <v>118</v>
      </c>
    </row>
    <row r="480" spans="1:11" ht="15.6" x14ac:dyDescent="0.3">
      <c r="A480" s="5"/>
      <c r="B480" s="3">
        <v>1284</v>
      </c>
      <c r="C480" s="4">
        <v>45930</v>
      </c>
      <c r="D480" s="3" t="s">
        <v>14</v>
      </c>
      <c r="E480" s="3">
        <v>3</v>
      </c>
      <c r="F480" s="3" t="s">
        <v>21</v>
      </c>
      <c r="G480" s="3">
        <v>22.34</v>
      </c>
      <c r="H480" s="3">
        <v>67.010000000000005</v>
      </c>
      <c r="I480" s="3" t="s">
        <v>116</v>
      </c>
      <c r="J480" s="3" t="s">
        <v>117</v>
      </c>
      <c r="K480" s="3" t="s">
        <v>118</v>
      </c>
    </row>
    <row r="481" spans="1:11" ht="15.6" x14ac:dyDescent="0.3">
      <c r="A481" s="5"/>
      <c r="B481" s="1">
        <v>1319</v>
      </c>
      <c r="C481" s="2">
        <v>45935</v>
      </c>
      <c r="D481" s="1" t="s">
        <v>17</v>
      </c>
      <c r="E481" s="1">
        <v>6</v>
      </c>
      <c r="F481" s="1" t="s">
        <v>10</v>
      </c>
      <c r="G481" s="1">
        <v>17.940000000000001</v>
      </c>
      <c r="H481" s="1">
        <v>107.64</v>
      </c>
      <c r="I481" s="1" t="s">
        <v>119</v>
      </c>
      <c r="J481" s="1" t="s">
        <v>120</v>
      </c>
      <c r="K481" s="1" t="s">
        <v>121</v>
      </c>
    </row>
    <row r="482" spans="1:11" ht="15.6" x14ac:dyDescent="0.3">
      <c r="A482" s="5"/>
      <c r="B482" s="3">
        <v>1377</v>
      </c>
      <c r="C482" s="4">
        <v>45935</v>
      </c>
      <c r="D482" s="3" t="s">
        <v>16</v>
      </c>
      <c r="E482" s="3">
        <v>5</v>
      </c>
      <c r="F482" s="3" t="s">
        <v>15</v>
      </c>
      <c r="G482" s="3">
        <v>25.04</v>
      </c>
      <c r="H482" s="3">
        <v>125.18</v>
      </c>
      <c r="I482" s="3" t="s">
        <v>119</v>
      </c>
      <c r="J482" s="3" t="s">
        <v>120</v>
      </c>
      <c r="K482" s="3" t="s">
        <v>121</v>
      </c>
    </row>
    <row r="483" spans="1:11" ht="15.6" x14ac:dyDescent="0.3">
      <c r="A483" s="5"/>
      <c r="B483" s="1">
        <v>1322</v>
      </c>
      <c r="C483" s="2">
        <v>45938</v>
      </c>
      <c r="D483" s="1" t="s">
        <v>24</v>
      </c>
      <c r="E483" s="1">
        <v>1</v>
      </c>
      <c r="F483" s="1" t="s">
        <v>10</v>
      </c>
      <c r="G483" s="1">
        <v>50.32</v>
      </c>
      <c r="H483" s="1">
        <v>50.32</v>
      </c>
      <c r="I483" s="1" t="s">
        <v>119</v>
      </c>
      <c r="J483" s="1" t="s">
        <v>120</v>
      </c>
      <c r="K483" s="1" t="s">
        <v>121</v>
      </c>
    </row>
    <row r="484" spans="1:11" ht="15.6" x14ac:dyDescent="0.3">
      <c r="A484" s="5"/>
      <c r="B484" s="3">
        <v>1116</v>
      </c>
      <c r="C484" s="4">
        <v>45939</v>
      </c>
      <c r="D484" s="3" t="s">
        <v>23</v>
      </c>
      <c r="E484" s="3">
        <v>4</v>
      </c>
      <c r="F484" s="3" t="s">
        <v>10</v>
      </c>
      <c r="G484" s="3">
        <v>16.18</v>
      </c>
      <c r="H484" s="3">
        <v>64.7</v>
      </c>
      <c r="I484" s="3" t="s">
        <v>119</v>
      </c>
      <c r="J484" s="3" t="s">
        <v>120</v>
      </c>
      <c r="K484" s="3" t="s">
        <v>121</v>
      </c>
    </row>
    <row r="485" spans="1:11" ht="15.6" x14ac:dyDescent="0.3">
      <c r="A485" s="5"/>
      <c r="B485" s="1">
        <v>1304</v>
      </c>
      <c r="C485" s="2">
        <v>45939</v>
      </c>
      <c r="D485" s="1" t="s">
        <v>28</v>
      </c>
      <c r="E485" s="1">
        <v>1</v>
      </c>
      <c r="F485" s="1" t="s">
        <v>15</v>
      </c>
      <c r="G485" s="1">
        <v>43.87</v>
      </c>
      <c r="H485" s="1">
        <v>43.87</v>
      </c>
      <c r="I485" s="1" t="s">
        <v>119</v>
      </c>
      <c r="J485" s="1" t="s">
        <v>120</v>
      </c>
      <c r="K485" s="1" t="s">
        <v>121</v>
      </c>
    </row>
    <row r="486" spans="1:11" ht="15.6" x14ac:dyDescent="0.3">
      <c r="A486" s="5"/>
      <c r="B486" s="3">
        <v>1179</v>
      </c>
      <c r="C486" s="4">
        <v>45941</v>
      </c>
      <c r="D486" s="3" t="s">
        <v>28</v>
      </c>
      <c r="E486" s="3">
        <v>6</v>
      </c>
      <c r="F486" s="3" t="s">
        <v>18</v>
      </c>
      <c r="G486" s="3">
        <v>45.07</v>
      </c>
      <c r="H486" s="3">
        <v>270.45</v>
      </c>
      <c r="I486" s="3" t="s">
        <v>119</v>
      </c>
      <c r="J486" s="3" t="s">
        <v>120</v>
      </c>
      <c r="K486" s="3" t="s">
        <v>121</v>
      </c>
    </row>
    <row r="487" spans="1:11" ht="15.6" x14ac:dyDescent="0.3">
      <c r="A487" s="5"/>
      <c r="B487" s="1">
        <v>1337</v>
      </c>
      <c r="C487" s="2">
        <v>45942</v>
      </c>
      <c r="D487" s="1" t="s">
        <v>22</v>
      </c>
      <c r="E487" s="1">
        <v>1</v>
      </c>
      <c r="F487" s="1" t="s">
        <v>15</v>
      </c>
      <c r="G487" s="1">
        <v>12.07</v>
      </c>
      <c r="H487" s="1">
        <v>12.07</v>
      </c>
      <c r="I487" s="1" t="s">
        <v>119</v>
      </c>
      <c r="J487" s="1" t="s">
        <v>120</v>
      </c>
      <c r="K487" s="1" t="s">
        <v>121</v>
      </c>
    </row>
    <row r="488" spans="1:11" ht="15.6" x14ac:dyDescent="0.3">
      <c r="A488" s="5"/>
      <c r="B488" s="3">
        <v>1496</v>
      </c>
      <c r="C488" s="4">
        <v>45942</v>
      </c>
      <c r="D488" s="3" t="s">
        <v>9</v>
      </c>
      <c r="E488" s="3">
        <v>5</v>
      </c>
      <c r="F488" s="3" t="s">
        <v>10</v>
      </c>
      <c r="G488" s="3">
        <v>68.959999999999994</v>
      </c>
      <c r="H488" s="3">
        <v>344.82</v>
      </c>
      <c r="I488" s="3" t="s">
        <v>119</v>
      </c>
      <c r="J488" s="3" t="s">
        <v>120</v>
      </c>
      <c r="K488" s="3" t="s">
        <v>121</v>
      </c>
    </row>
    <row r="489" spans="1:11" ht="15.6" x14ac:dyDescent="0.3">
      <c r="A489" s="5"/>
      <c r="B489" s="1">
        <v>1058</v>
      </c>
      <c r="C489" s="2">
        <v>45943</v>
      </c>
      <c r="D489" s="1" t="s">
        <v>17</v>
      </c>
      <c r="E489" s="1">
        <v>4</v>
      </c>
      <c r="F489" s="1" t="s">
        <v>21</v>
      </c>
      <c r="G489" s="1">
        <v>18.07</v>
      </c>
      <c r="H489" s="1">
        <v>72.28</v>
      </c>
      <c r="I489" s="1" t="s">
        <v>119</v>
      </c>
      <c r="J489" s="1" t="s">
        <v>120</v>
      </c>
      <c r="K489" s="1" t="s">
        <v>121</v>
      </c>
    </row>
    <row r="490" spans="1:11" ht="15.6" x14ac:dyDescent="0.3">
      <c r="A490" s="5"/>
      <c r="B490" s="3">
        <v>1173</v>
      </c>
      <c r="C490" s="4">
        <v>45943</v>
      </c>
      <c r="D490" s="3" t="s">
        <v>23</v>
      </c>
      <c r="E490" s="3">
        <v>5</v>
      </c>
      <c r="F490" s="3" t="s">
        <v>18</v>
      </c>
      <c r="G490" s="3">
        <v>15.7</v>
      </c>
      <c r="H490" s="3">
        <v>78.489999999999995</v>
      </c>
      <c r="I490" s="3" t="s">
        <v>119</v>
      </c>
      <c r="J490" s="3" t="s">
        <v>120</v>
      </c>
      <c r="K490" s="3" t="s">
        <v>121</v>
      </c>
    </row>
    <row r="491" spans="1:11" ht="15.6" x14ac:dyDescent="0.3">
      <c r="A491" s="5"/>
      <c r="B491" s="1">
        <v>1079</v>
      </c>
      <c r="C491" s="2">
        <v>45944</v>
      </c>
      <c r="D491" s="1" t="s">
        <v>14</v>
      </c>
      <c r="E491" s="1">
        <v>3</v>
      </c>
      <c r="F491" s="1" t="s">
        <v>10</v>
      </c>
      <c r="G491" s="1">
        <v>20.91</v>
      </c>
      <c r="H491" s="1">
        <v>62.73</v>
      </c>
      <c r="I491" s="1" t="s">
        <v>119</v>
      </c>
      <c r="J491" s="1" t="s">
        <v>120</v>
      </c>
      <c r="K491" s="1" t="s">
        <v>121</v>
      </c>
    </row>
    <row r="492" spans="1:11" ht="15.6" x14ac:dyDescent="0.3">
      <c r="A492" s="5"/>
      <c r="B492" s="3">
        <v>1220</v>
      </c>
      <c r="C492" s="4">
        <v>45946</v>
      </c>
      <c r="D492" s="3" t="s">
        <v>23</v>
      </c>
      <c r="E492" s="3">
        <v>1</v>
      </c>
      <c r="F492" s="3" t="s">
        <v>15</v>
      </c>
      <c r="G492" s="3">
        <v>13.76</v>
      </c>
      <c r="H492" s="3">
        <v>13.76</v>
      </c>
      <c r="I492" s="3" t="s">
        <v>119</v>
      </c>
      <c r="J492" s="3" t="s">
        <v>120</v>
      </c>
      <c r="K492" s="3" t="s">
        <v>121</v>
      </c>
    </row>
    <row r="493" spans="1:11" ht="15.6" x14ac:dyDescent="0.3">
      <c r="A493" s="5"/>
      <c r="B493" s="1">
        <v>1106</v>
      </c>
      <c r="C493" s="2">
        <v>45947</v>
      </c>
      <c r="D493" s="1" t="s">
        <v>17</v>
      </c>
      <c r="E493" s="1">
        <v>3</v>
      </c>
      <c r="F493" s="1" t="s">
        <v>10</v>
      </c>
      <c r="G493" s="1">
        <v>15.98</v>
      </c>
      <c r="H493" s="1">
        <v>47.94</v>
      </c>
      <c r="I493" s="1" t="s">
        <v>119</v>
      </c>
      <c r="J493" s="1" t="s">
        <v>120</v>
      </c>
      <c r="K493" s="1" t="s">
        <v>121</v>
      </c>
    </row>
    <row r="494" spans="1:11" ht="15.6" x14ac:dyDescent="0.3">
      <c r="A494" s="5"/>
      <c r="B494" s="3">
        <v>1369</v>
      </c>
      <c r="C494" s="4">
        <v>45947</v>
      </c>
      <c r="D494" s="3" t="s">
        <v>17</v>
      </c>
      <c r="E494" s="3">
        <v>4</v>
      </c>
      <c r="F494" s="3" t="s">
        <v>18</v>
      </c>
      <c r="G494" s="3">
        <v>17.559999999999999</v>
      </c>
      <c r="H494" s="3">
        <v>70.23</v>
      </c>
      <c r="I494" s="3" t="s">
        <v>119</v>
      </c>
      <c r="J494" s="3" t="s">
        <v>120</v>
      </c>
      <c r="K494" s="3" t="s">
        <v>121</v>
      </c>
    </row>
    <row r="495" spans="1:11" ht="15.6" x14ac:dyDescent="0.3">
      <c r="A495" s="5"/>
      <c r="B495" s="1">
        <v>1047</v>
      </c>
      <c r="C495" s="2">
        <v>45948</v>
      </c>
      <c r="D495" s="1" t="s">
        <v>20</v>
      </c>
      <c r="E495" s="1">
        <v>6</v>
      </c>
      <c r="F495" s="1" t="s">
        <v>15</v>
      </c>
      <c r="G495" s="1">
        <v>8.8000000000000007</v>
      </c>
      <c r="H495" s="1">
        <v>52.8</v>
      </c>
      <c r="I495" s="1" t="s">
        <v>119</v>
      </c>
      <c r="J495" s="1" t="s">
        <v>120</v>
      </c>
      <c r="K495" s="1" t="s">
        <v>121</v>
      </c>
    </row>
    <row r="496" spans="1:11" ht="15.6" x14ac:dyDescent="0.3">
      <c r="A496" s="5"/>
      <c r="B496" s="3">
        <v>1362</v>
      </c>
      <c r="C496" s="4">
        <v>45948</v>
      </c>
      <c r="D496" s="3" t="s">
        <v>19</v>
      </c>
      <c r="E496" s="3">
        <v>3</v>
      </c>
      <c r="F496" s="3" t="s">
        <v>10</v>
      </c>
      <c r="G496" s="3">
        <v>35.049999999999997</v>
      </c>
      <c r="H496" s="3">
        <v>105.15</v>
      </c>
      <c r="I496" s="3" t="s">
        <v>119</v>
      </c>
      <c r="J496" s="3" t="s">
        <v>120</v>
      </c>
      <c r="K496" s="3" t="s">
        <v>121</v>
      </c>
    </row>
    <row r="497" spans="1:11" ht="15.6" x14ac:dyDescent="0.3">
      <c r="A497" s="5"/>
      <c r="B497" s="1">
        <v>1440</v>
      </c>
      <c r="C497" s="2">
        <v>45951</v>
      </c>
      <c r="D497" s="1" t="s">
        <v>16</v>
      </c>
      <c r="E497" s="1">
        <v>5</v>
      </c>
      <c r="F497" s="1" t="s">
        <v>21</v>
      </c>
      <c r="G497" s="1">
        <v>24.3</v>
      </c>
      <c r="H497" s="1">
        <v>121.52</v>
      </c>
      <c r="I497" s="1" t="s">
        <v>119</v>
      </c>
      <c r="J497" s="1" t="s">
        <v>120</v>
      </c>
      <c r="K497" s="1" t="s">
        <v>121</v>
      </c>
    </row>
    <row r="498" spans="1:11" ht="15.6" x14ac:dyDescent="0.3">
      <c r="A498" s="5"/>
      <c r="B498" s="3">
        <v>1046</v>
      </c>
      <c r="C498" s="4">
        <v>45952</v>
      </c>
      <c r="D498" s="3" t="s">
        <v>22</v>
      </c>
      <c r="E498" s="3">
        <v>3</v>
      </c>
      <c r="F498" s="3" t="s">
        <v>10</v>
      </c>
      <c r="G498" s="3">
        <v>12.8</v>
      </c>
      <c r="H498" s="3">
        <v>38.39</v>
      </c>
      <c r="I498" s="3" t="s">
        <v>119</v>
      </c>
      <c r="J498" s="3" t="s">
        <v>120</v>
      </c>
      <c r="K498" s="3" t="s">
        <v>121</v>
      </c>
    </row>
    <row r="499" spans="1:11" ht="15.6" x14ac:dyDescent="0.3">
      <c r="A499" s="5"/>
      <c r="B499" s="1">
        <v>1094</v>
      </c>
      <c r="C499" s="2">
        <v>45955</v>
      </c>
      <c r="D499" s="1" t="s">
        <v>20</v>
      </c>
      <c r="E499" s="1">
        <v>6</v>
      </c>
      <c r="F499" s="1" t="s">
        <v>18</v>
      </c>
      <c r="G499" s="1">
        <v>7.91</v>
      </c>
      <c r="H499" s="1">
        <v>47.48</v>
      </c>
      <c r="I499" s="1" t="s">
        <v>119</v>
      </c>
      <c r="J499" s="1" t="s">
        <v>120</v>
      </c>
      <c r="K499" s="1" t="s">
        <v>121</v>
      </c>
    </row>
    <row r="500" spans="1:11" ht="15.6" x14ac:dyDescent="0.3">
      <c r="A500" s="6"/>
      <c r="B500" s="3">
        <v>1495</v>
      </c>
      <c r="C500" s="4">
        <v>45955</v>
      </c>
      <c r="D500" s="3" t="s">
        <v>23</v>
      </c>
      <c r="E500" s="3">
        <v>4</v>
      </c>
      <c r="F500" s="3" t="s">
        <v>21</v>
      </c>
      <c r="G500" s="3">
        <v>14.76</v>
      </c>
      <c r="H500" s="3">
        <v>59.03</v>
      </c>
      <c r="I500" s="3" t="s">
        <v>119</v>
      </c>
      <c r="J500" s="3" t="s">
        <v>120</v>
      </c>
      <c r="K500" s="3" t="s">
        <v>121</v>
      </c>
    </row>
    <row r="501" spans="1:11" ht="15.6" x14ac:dyDescent="0.3">
      <c r="A501" s="5"/>
      <c r="B501" s="1">
        <v>1469</v>
      </c>
      <c r="C501" s="2">
        <v>45958</v>
      </c>
      <c r="D501" s="1" t="s">
        <v>24</v>
      </c>
      <c r="E501" s="1">
        <v>2</v>
      </c>
      <c r="F501" s="1" t="s">
        <v>21</v>
      </c>
      <c r="G501" s="1">
        <v>51.94</v>
      </c>
      <c r="H501" s="1">
        <v>103.87</v>
      </c>
      <c r="I501" s="1" t="s">
        <v>119</v>
      </c>
      <c r="J501" s="1" t="s">
        <v>120</v>
      </c>
      <c r="K501" s="1" t="s">
        <v>121</v>
      </c>
    </row>
    <row r="502" spans="1:11" ht="15.6" x14ac:dyDescent="0.3">
      <c r="A502" s="5"/>
      <c r="B502" s="3">
        <v>1414</v>
      </c>
      <c r="C502" s="4">
        <v>45959</v>
      </c>
      <c r="D502" s="3" t="s">
        <v>22</v>
      </c>
      <c r="E502" s="3">
        <v>4</v>
      </c>
      <c r="F502" s="3" t="s">
        <v>18</v>
      </c>
      <c r="G502" s="3">
        <v>12.07</v>
      </c>
      <c r="H502" s="3">
        <v>48.27</v>
      </c>
      <c r="I502" s="3" t="s">
        <v>119</v>
      </c>
      <c r="J502" s="3" t="s">
        <v>120</v>
      </c>
      <c r="K502" s="3" t="s">
        <v>121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2EFC-12CE-4928-9B28-B21B96DFAD6E}">
  <sheetPr>
    <tabColor rgb="FFFFFF00"/>
  </sheetPr>
  <dimension ref="B1:K38"/>
  <sheetViews>
    <sheetView view="pageBreakPreview" zoomScale="147" zoomScaleNormal="92" workbookViewId="0">
      <selection activeCell="J3" sqref="J3"/>
    </sheetView>
  </sheetViews>
  <sheetFormatPr defaultRowHeight="14.4" x14ac:dyDescent="0.3"/>
  <cols>
    <col min="2" max="2" width="15.77734375" bestFit="1" customWidth="1"/>
    <col min="3" max="3" width="11.77734375" bestFit="1" customWidth="1"/>
    <col min="6" max="6" width="15.77734375" bestFit="1" customWidth="1"/>
    <col min="7" max="7" width="14.5546875" bestFit="1" customWidth="1"/>
    <col min="8" max="9" width="7.5546875" bestFit="1" customWidth="1"/>
    <col min="10" max="10" width="12.5546875" bestFit="1" customWidth="1"/>
    <col min="11" max="11" width="11.6640625" bestFit="1" customWidth="1"/>
    <col min="12" max="12" width="11.77734375" bestFit="1" customWidth="1"/>
  </cols>
  <sheetData>
    <row r="1" spans="2:11" ht="16.8" x14ac:dyDescent="0.35">
      <c r="B1" s="13" t="s">
        <v>126</v>
      </c>
      <c r="C1" s="14"/>
      <c r="F1" s="13" t="s">
        <v>127</v>
      </c>
      <c r="G1" s="14"/>
      <c r="J1" s="13" t="s">
        <v>129</v>
      </c>
      <c r="K1" s="14"/>
    </row>
    <row r="3" spans="2:11" x14ac:dyDescent="0.3">
      <c r="B3" s="9" t="s">
        <v>123</v>
      </c>
      <c r="C3" s="9" t="s">
        <v>125</v>
      </c>
      <c r="F3" s="9" t="s">
        <v>123</v>
      </c>
      <c r="G3" s="9" t="s">
        <v>128</v>
      </c>
      <c r="J3" s="9" t="s">
        <v>123</v>
      </c>
      <c r="K3" s="9" t="s">
        <v>125</v>
      </c>
    </row>
    <row r="4" spans="2:11" x14ac:dyDescent="0.3">
      <c r="B4" s="10" t="s">
        <v>33</v>
      </c>
      <c r="C4" s="11">
        <v>2208.62</v>
      </c>
      <c r="F4" s="10" t="s">
        <v>53</v>
      </c>
      <c r="G4" s="11">
        <v>6974</v>
      </c>
      <c r="J4" s="8" t="s">
        <v>18</v>
      </c>
      <c r="K4">
        <v>842.16</v>
      </c>
    </row>
    <row r="5" spans="2:11" x14ac:dyDescent="0.3">
      <c r="B5" s="10" t="s">
        <v>68</v>
      </c>
      <c r="C5" s="11">
        <v>1529.1200000000001</v>
      </c>
      <c r="F5" s="10" t="s">
        <v>30</v>
      </c>
      <c r="G5" s="11">
        <v>9135</v>
      </c>
      <c r="J5" s="8" t="s">
        <v>15</v>
      </c>
      <c r="K5">
        <v>424.64</v>
      </c>
    </row>
    <row r="6" spans="2:11" x14ac:dyDescent="0.3">
      <c r="B6" s="10" t="s">
        <v>103</v>
      </c>
      <c r="C6" s="11">
        <v>1909.2199999999998</v>
      </c>
      <c r="F6" s="10" t="s">
        <v>73</v>
      </c>
      <c r="G6" s="11">
        <v>11058</v>
      </c>
      <c r="J6" s="8" t="s">
        <v>10</v>
      </c>
      <c r="K6">
        <v>334.54</v>
      </c>
    </row>
    <row r="7" spans="2:11" x14ac:dyDescent="0.3">
      <c r="B7" s="10" t="s">
        <v>44</v>
      </c>
      <c r="C7" s="11">
        <v>2106.9</v>
      </c>
      <c r="F7" s="10" t="s">
        <v>79</v>
      </c>
      <c r="G7" s="11">
        <v>11149</v>
      </c>
      <c r="J7" s="8" t="s">
        <v>21</v>
      </c>
      <c r="K7">
        <v>340.57</v>
      </c>
    </row>
    <row r="8" spans="2:11" x14ac:dyDescent="0.3">
      <c r="B8" s="10" t="s">
        <v>79</v>
      </c>
      <c r="C8" s="11">
        <v>1223.44</v>
      </c>
      <c r="F8" s="10" t="s">
        <v>50</v>
      </c>
      <c r="G8" s="11">
        <v>11845</v>
      </c>
      <c r="J8" s="8" t="s">
        <v>124</v>
      </c>
      <c r="K8">
        <v>1941.9099999999999</v>
      </c>
    </row>
    <row r="9" spans="2:11" x14ac:dyDescent="0.3">
      <c r="B9" s="10" t="s">
        <v>114</v>
      </c>
      <c r="C9" s="11">
        <v>2532.5700000000002</v>
      </c>
      <c r="F9" s="10" t="s">
        <v>117</v>
      </c>
      <c r="G9" s="11">
        <v>13523</v>
      </c>
    </row>
    <row r="10" spans="2:11" x14ac:dyDescent="0.3">
      <c r="B10" s="10" t="s">
        <v>56</v>
      </c>
      <c r="C10" s="11">
        <v>1459.85</v>
      </c>
      <c r="F10" s="10" t="s">
        <v>56</v>
      </c>
      <c r="G10" s="11">
        <v>13927</v>
      </c>
    </row>
    <row r="11" spans="2:11" x14ac:dyDescent="0.3">
      <c r="B11" s="10" t="s">
        <v>91</v>
      </c>
      <c r="C11" s="11">
        <v>1064.72</v>
      </c>
      <c r="F11" s="10" t="s">
        <v>44</v>
      </c>
      <c r="G11" s="11">
        <v>14888</v>
      </c>
    </row>
    <row r="12" spans="2:11" x14ac:dyDescent="0.3">
      <c r="B12" s="10" t="s">
        <v>26</v>
      </c>
      <c r="C12" s="11">
        <v>1888.67</v>
      </c>
      <c r="F12" s="10" t="s">
        <v>82</v>
      </c>
      <c r="G12" s="11">
        <v>15013</v>
      </c>
    </row>
    <row r="13" spans="2:11" x14ac:dyDescent="0.3">
      <c r="B13" s="10" t="s">
        <v>62</v>
      </c>
      <c r="C13" s="11">
        <v>1822.84</v>
      </c>
      <c r="F13" s="10" t="s">
        <v>36</v>
      </c>
      <c r="G13" s="11">
        <v>15736</v>
      </c>
    </row>
    <row r="14" spans="2:11" x14ac:dyDescent="0.3">
      <c r="B14" s="10" t="s">
        <v>97</v>
      </c>
      <c r="C14" s="11">
        <v>1733.07</v>
      </c>
      <c r="F14" s="10" t="s">
        <v>26</v>
      </c>
      <c r="G14" s="11">
        <v>16888</v>
      </c>
    </row>
    <row r="15" spans="2:11" x14ac:dyDescent="0.3">
      <c r="B15" s="10" t="s">
        <v>12</v>
      </c>
      <c r="C15" s="11">
        <v>1459.29</v>
      </c>
      <c r="F15" s="10" t="s">
        <v>111</v>
      </c>
      <c r="G15" s="11">
        <v>17278</v>
      </c>
    </row>
    <row r="16" spans="2:11" x14ac:dyDescent="0.3">
      <c r="B16" s="10" t="s">
        <v>59</v>
      </c>
      <c r="C16" s="11">
        <v>1634.4</v>
      </c>
      <c r="F16" s="10" t="s">
        <v>47</v>
      </c>
      <c r="G16" s="11">
        <v>17348</v>
      </c>
    </row>
    <row r="17" spans="2:7" x14ac:dyDescent="0.3">
      <c r="B17" s="10" t="s">
        <v>94</v>
      </c>
      <c r="C17" s="11">
        <v>2563.84</v>
      </c>
      <c r="F17" s="10" t="s">
        <v>33</v>
      </c>
      <c r="G17" s="11">
        <v>17472</v>
      </c>
    </row>
    <row r="18" spans="2:7" x14ac:dyDescent="0.3">
      <c r="B18" s="10" t="s">
        <v>41</v>
      </c>
      <c r="C18" s="11">
        <v>1535.6299999999999</v>
      </c>
      <c r="F18" s="10" t="s">
        <v>91</v>
      </c>
      <c r="G18" s="11">
        <v>17518</v>
      </c>
    </row>
    <row r="19" spans="2:7" x14ac:dyDescent="0.3">
      <c r="B19" s="10" t="s">
        <v>76</v>
      </c>
      <c r="C19" s="11">
        <v>2008.42</v>
      </c>
      <c r="F19" s="10" t="s">
        <v>41</v>
      </c>
      <c r="G19" s="11">
        <v>17621</v>
      </c>
    </row>
    <row r="20" spans="2:7" x14ac:dyDescent="0.3">
      <c r="B20" s="10" t="s">
        <v>111</v>
      </c>
      <c r="C20" s="11">
        <v>1424.97</v>
      </c>
      <c r="F20" s="10" t="s">
        <v>97</v>
      </c>
      <c r="G20" s="11">
        <v>18095</v>
      </c>
    </row>
    <row r="21" spans="2:7" x14ac:dyDescent="0.3">
      <c r="B21" s="10" t="s">
        <v>38</v>
      </c>
      <c r="C21" s="11">
        <v>1250.3199999999997</v>
      </c>
      <c r="F21" s="10" t="s">
        <v>65</v>
      </c>
      <c r="G21" s="11">
        <v>18200</v>
      </c>
    </row>
    <row r="22" spans="2:7" x14ac:dyDescent="0.3">
      <c r="B22" s="10" t="s">
        <v>73</v>
      </c>
      <c r="C22" s="11">
        <v>1119.49</v>
      </c>
      <c r="F22" s="10" t="s">
        <v>68</v>
      </c>
      <c r="G22" s="11">
        <v>18442</v>
      </c>
    </row>
    <row r="23" spans="2:7" x14ac:dyDescent="0.3">
      <c r="B23" s="10" t="s">
        <v>108</v>
      </c>
      <c r="C23" s="11">
        <v>1994.8700000000001</v>
      </c>
      <c r="F23" s="10" t="s">
        <v>59</v>
      </c>
      <c r="G23" s="11">
        <v>18824</v>
      </c>
    </row>
    <row r="24" spans="2:7" x14ac:dyDescent="0.3">
      <c r="B24" s="10" t="s">
        <v>30</v>
      </c>
      <c r="C24" s="11">
        <v>612.76</v>
      </c>
      <c r="F24" s="10" t="s">
        <v>76</v>
      </c>
      <c r="G24" s="11">
        <v>19021</v>
      </c>
    </row>
    <row r="25" spans="2:7" x14ac:dyDescent="0.3">
      <c r="B25" s="10" t="s">
        <v>65</v>
      </c>
      <c r="C25" s="11">
        <v>1807.8600000000004</v>
      </c>
      <c r="F25" s="10" t="s">
        <v>38</v>
      </c>
      <c r="G25" s="11">
        <v>19144</v>
      </c>
    </row>
    <row r="26" spans="2:7" x14ac:dyDescent="0.3">
      <c r="B26" s="10" t="s">
        <v>100</v>
      </c>
      <c r="C26" s="11">
        <v>2429.5800000000004</v>
      </c>
      <c r="F26" s="10" t="s">
        <v>103</v>
      </c>
      <c r="G26" s="11">
        <v>19284</v>
      </c>
    </row>
    <row r="27" spans="2:7" x14ac:dyDescent="0.3">
      <c r="B27" s="10" t="s">
        <v>36</v>
      </c>
      <c r="C27" s="11">
        <v>2094.5</v>
      </c>
      <c r="F27" s="10" t="s">
        <v>12</v>
      </c>
      <c r="G27" s="11">
        <v>19455</v>
      </c>
    </row>
    <row r="28" spans="2:7" x14ac:dyDescent="0.3">
      <c r="B28" s="10" t="s">
        <v>71</v>
      </c>
      <c r="C28" s="11">
        <v>2202.2700000000004</v>
      </c>
      <c r="F28" s="10" t="s">
        <v>62</v>
      </c>
      <c r="G28" s="11">
        <v>19589</v>
      </c>
    </row>
    <row r="29" spans="2:7" x14ac:dyDescent="0.3">
      <c r="B29" s="10" t="s">
        <v>106</v>
      </c>
      <c r="C29" s="11">
        <v>3118.33</v>
      </c>
      <c r="F29" s="10" t="s">
        <v>108</v>
      </c>
      <c r="G29" s="11">
        <v>19657</v>
      </c>
    </row>
    <row r="30" spans="2:7" x14ac:dyDescent="0.3">
      <c r="B30" s="10" t="s">
        <v>53</v>
      </c>
      <c r="C30" s="11">
        <v>822.6</v>
      </c>
      <c r="F30" s="10" t="s">
        <v>100</v>
      </c>
      <c r="G30" s="11">
        <v>22097</v>
      </c>
    </row>
    <row r="31" spans="2:7" x14ac:dyDescent="0.3">
      <c r="B31" s="10" t="s">
        <v>88</v>
      </c>
      <c r="C31" s="11">
        <v>1941.91</v>
      </c>
      <c r="F31" s="10" t="s">
        <v>85</v>
      </c>
      <c r="G31" s="11">
        <v>23448</v>
      </c>
    </row>
    <row r="32" spans="2:7" x14ac:dyDescent="0.3">
      <c r="B32" s="10" t="s">
        <v>50</v>
      </c>
      <c r="C32" s="11">
        <v>1328.8200000000002</v>
      </c>
      <c r="F32" s="10" t="s">
        <v>71</v>
      </c>
      <c r="G32" s="11">
        <v>25237</v>
      </c>
    </row>
    <row r="33" spans="2:7" x14ac:dyDescent="0.3">
      <c r="B33" s="10" t="s">
        <v>85</v>
      </c>
      <c r="C33" s="11">
        <v>2617.8700000000003</v>
      </c>
      <c r="F33" s="10" t="s">
        <v>88</v>
      </c>
      <c r="G33" s="11">
        <v>25339</v>
      </c>
    </row>
    <row r="34" spans="2:7" x14ac:dyDescent="0.3">
      <c r="B34" s="10" t="s">
        <v>120</v>
      </c>
      <c r="C34" s="11">
        <v>1940.9900000000002</v>
      </c>
      <c r="F34" s="10" t="s">
        <v>94</v>
      </c>
      <c r="G34" s="11">
        <v>26605</v>
      </c>
    </row>
    <row r="35" spans="2:7" x14ac:dyDescent="0.3">
      <c r="B35" s="10" t="s">
        <v>47</v>
      </c>
      <c r="C35" s="11">
        <v>1422.2399999999998</v>
      </c>
      <c r="F35" s="10" t="s">
        <v>120</v>
      </c>
      <c r="G35" s="11">
        <v>27822</v>
      </c>
    </row>
    <row r="36" spans="2:7" x14ac:dyDescent="0.3">
      <c r="B36" s="10" t="s">
        <v>82</v>
      </c>
      <c r="C36" s="11">
        <v>1240.0600000000002</v>
      </c>
      <c r="F36" s="10" t="s">
        <v>106</v>
      </c>
      <c r="G36" s="11">
        <v>28248</v>
      </c>
    </row>
    <row r="37" spans="2:7" x14ac:dyDescent="0.3">
      <c r="B37" s="10" t="s">
        <v>117</v>
      </c>
      <c r="C37" s="11">
        <v>1387.02</v>
      </c>
      <c r="F37" s="10" t="s">
        <v>114</v>
      </c>
      <c r="G37" s="11">
        <v>28870</v>
      </c>
    </row>
    <row r="38" spans="2:7" x14ac:dyDescent="0.3">
      <c r="B38" s="8" t="s">
        <v>124</v>
      </c>
      <c r="C38">
        <v>59437.06</v>
      </c>
      <c r="F38" s="8" t="s">
        <v>124</v>
      </c>
      <c r="G38">
        <v>624750</v>
      </c>
    </row>
  </sheetData>
  <mergeCells count="3">
    <mergeCell ref="B1:C1"/>
    <mergeCell ref="F1:G1"/>
    <mergeCell ref="J1:K1"/>
  </mergeCell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F1931-8F9F-421D-B8E7-3585171C75C4}">
  <sheetPr>
    <tabColor rgb="FF92D050"/>
  </sheetPr>
  <dimension ref="T9"/>
  <sheetViews>
    <sheetView showGridLines="0" tabSelected="1" zoomScale="49" zoomScaleNormal="112" workbookViewId="0">
      <selection activeCell="BA80" sqref="BA80"/>
    </sheetView>
  </sheetViews>
  <sheetFormatPr defaultRowHeight="14.4" x14ac:dyDescent="0.3"/>
  <cols>
    <col min="1" max="16384" width="8.88671875" style="12"/>
  </cols>
  <sheetData>
    <row r="9" spans="20:20" x14ac:dyDescent="0.3">
      <c r="T9" s="12">
        <f>GETPIVOTDATA("OrderID",PivotTable!$F$3,"Month Full","November 2023")</f>
        <v>6974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P</dc:creator>
  <cp:lastModifiedBy>Harish P</cp:lastModifiedBy>
  <dcterms:created xsi:type="dcterms:W3CDTF">2025-11-24T13:00:33Z</dcterms:created>
  <dcterms:modified xsi:type="dcterms:W3CDTF">2025-11-25T15:13:51Z</dcterms:modified>
</cp:coreProperties>
</file>