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30f0723511d34702/Documents/CODING SAMURAI/"/>
    </mc:Choice>
  </mc:AlternateContent>
  <xr:revisionPtr revIDLastSave="410" documentId="13_ncr:1_{6C5EF6DF-0C18-423A-BF4A-BE421203D5A5}" xr6:coauthVersionLast="47" xr6:coauthVersionMax="47" xr10:uidLastSave="{943F37DE-3F2E-428B-B19B-7B6B61262560}"/>
  <bookViews>
    <workbookView xWindow="-108" yWindow="-108" windowWidth="23256" windowHeight="13896" activeTab="3" xr2:uid="{DB30E80D-497D-4AD5-ACC0-489E3B300F6D}"/>
  </bookViews>
  <sheets>
    <sheet name="Database" sheetId="1" r:id="rId1"/>
    <sheet name="Pivot Tables" sheetId="3" r:id="rId2"/>
    <sheet name="Pivot Tables2" sheetId="5" r:id="rId3"/>
    <sheet name="Dashboard" sheetId="2" r:id="rId4"/>
  </sheets>
  <definedNames>
    <definedName name="_xlnm._FilterDatabase" localSheetId="0" hidden="1">Database!$B$2:$I$2</definedName>
    <definedName name="_xlcn.WorksheetConnection_DatabaseB2I2021" hidden="1">Database!$B$2:$I$202</definedName>
    <definedName name="_xlnm.Print_Area" localSheetId="1">'Pivot Tables'!$A$1:$N$50</definedName>
    <definedName name="_xlnm.Print_Area" localSheetId="2">'Pivot Tables2'!$A$1:$M$47</definedName>
    <definedName name="Slicer_Produc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base!$B$2:$I$20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3" l="1"/>
  <c r="I8" i="3"/>
  <c r="I9" i="3"/>
  <c r="I10" i="3"/>
  <c r="I11" i="3"/>
  <c r="H11" i="3"/>
  <c r="H8" i="3"/>
  <c r="H9" i="3"/>
  <c r="H10" i="3"/>
  <c r="H7" i="3"/>
  <c r="G3" i="1"/>
  <c r="H3"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G146" i="1"/>
  <c r="H146" i="1" s="1"/>
  <c r="G147" i="1"/>
  <c r="H147" i="1" s="1"/>
  <c r="G148" i="1"/>
  <c r="H148" i="1" s="1"/>
  <c r="G149" i="1"/>
  <c r="H149" i="1" s="1"/>
  <c r="G150" i="1"/>
  <c r="H150" i="1" s="1"/>
  <c r="G151" i="1"/>
  <c r="H151" i="1" s="1"/>
  <c r="G152" i="1"/>
  <c r="H152" i="1" s="1"/>
  <c r="G153" i="1"/>
  <c r="H153" i="1" s="1"/>
  <c r="G154" i="1"/>
  <c r="H154" i="1" s="1"/>
  <c r="G155" i="1"/>
  <c r="H155" i="1" s="1"/>
  <c r="G156" i="1"/>
  <c r="H156" i="1" s="1"/>
  <c r="G157" i="1"/>
  <c r="H157" i="1" s="1"/>
  <c r="G158" i="1"/>
  <c r="H158" i="1" s="1"/>
  <c r="G159" i="1"/>
  <c r="H159" i="1" s="1"/>
  <c r="G160" i="1"/>
  <c r="H160" i="1" s="1"/>
  <c r="G161" i="1"/>
  <c r="H161" i="1" s="1"/>
  <c r="G162" i="1"/>
  <c r="H162" i="1" s="1"/>
  <c r="G163" i="1"/>
  <c r="H163" i="1" s="1"/>
  <c r="G164" i="1"/>
  <c r="H164" i="1" s="1"/>
  <c r="G165" i="1"/>
  <c r="H165" i="1" s="1"/>
  <c r="G166" i="1"/>
  <c r="H166" i="1" s="1"/>
  <c r="G167" i="1"/>
  <c r="H167" i="1" s="1"/>
  <c r="G168" i="1"/>
  <c r="H168" i="1" s="1"/>
  <c r="G169" i="1"/>
  <c r="H169" i="1" s="1"/>
  <c r="G170" i="1"/>
  <c r="H170" i="1" s="1"/>
  <c r="G171" i="1"/>
  <c r="H171" i="1" s="1"/>
  <c r="G172" i="1"/>
  <c r="H172" i="1" s="1"/>
  <c r="G173" i="1"/>
  <c r="H173" i="1" s="1"/>
  <c r="G174" i="1"/>
  <c r="H174" i="1" s="1"/>
  <c r="G175" i="1"/>
  <c r="H175" i="1" s="1"/>
  <c r="G176" i="1"/>
  <c r="H176" i="1" s="1"/>
  <c r="G177" i="1"/>
  <c r="H177" i="1" s="1"/>
  <c r="G178" i="1"/>
  <c r="H178" i="1" s="1"/>
  <c r="G179" i="1"/>
  <c r="H179" i="1" s="1"/>
  <c r="G180" i="1"/>
  <c r="H180" i="1" s="1"/>
  <c r="G181" i="1"/>
  <c r="H181" i="1" s="1"/>
  <c r="G182" i="1"/>
  <c r="H182" i="1" s="1"/>
  <c r="G183" i="1"/>
  <c r="H183" i="1" s="1"/>
  <c r="G184" i="1"/>
  <c r="H184" i="1" s="1"/>
  <c r="G185" i="1"/>
  <c r="H185" i="1" s="1"/>
  <c r="G186" i="1"/>
  <c r="H186" i="1" s="1"/>
  <c r="G187" i="1"/>
  <c r="H187" i="1" s="1"/>
  <c r="G188" i="1"/>
  <c r="H188" i="1" s="1"/>
  <c r="G189" i="1"/>
  <c r="H189" i="1" s="1"/>
  <c r="G190" i="1"/>
  <c r="H190" i="1" s="1"/>
  <c r="G191" i="1"/>
  <c r="H191" i="1" s="1"/>
  <c r="G192" i="1"/>
  <c r="H192" i="1" s="1"/>
  <c r="G193" i="1"/>
  <c r="H193" i="1" s="1"/>
  <c r="G194" i="1"/>
  <c r="H194" i="1" s="1"/>
  <c r="G195" i="1"/>
  <c r="H195" i="1" s="1"/>
  <c r="G196" i="1"/>
  <c r="H196" i="1" s="1"/>
  <c r="G197" i="1"/>
  <c r="H197" i="1" s="1"/>
  <c r="G198" i="1"/>
  <c r="H198" i="1" s="1"/>
  <c r="G199" i="1"/>
  <c r="H199" i="1" s="1"/>
  <c r="G200" i="1"/>
  <c r="H200" i="1" s="1"/>
  <c r="G201" i="1"/>
  <c r="H201" i="1" s="1"/>
  <c r="G202" i="1"/>
  <c r="H20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839CE4-A483-4C3D-9EE9-9671A04765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4F7D045-E260-4664-A85D-8AA03F70D375}" name="WorksheetConnection_Database!$B$2:$I$202" type="102" refreshedVersion="8" minRefreshableVersion="5">
    <extLst>
      <ext xmlns:x15="http://schemas.microsoft.com/office/spreadsheetml/2010/11/main" uri="{DE250136-89BD-433C-8126-D09CA5730AF9}">
        <x15:connection id="Range" autoDelete="1">
          <x15:rangePr sourceName="_xlcn.WorksheetConnection_DatabaseB2I2021"/>
        </x15:connection>
      </ext>
    </extLst>
  </connection>
</connections>
</file>

<file path=xl/sharedStrings.xml><?xml version="1.0" encoding="utf-8"?>
<sst xmlns="http://schemas.openxmlformats.org/spreadsheetml/2006/main" count="719" uniqueCount="178">
  <si>
    <t>Date</t>
  </si>
  <si>
    <t>18-07-2025</t>
  </si>
  <si>
    <t>28-05-2025</t>
  </si>
  <si>
    <t>11-07-2025</t>
  </si>
  <si>
    <t>23-01-2025</t>
  </si>
  <si>
    <t>18-09-2025</t>
  </si>
  <si>
    <t>03-06-2025</t>
  </si>
  <si>
    <t>22-07-2025</t>
  </si>
  <si>
    <t>06-04-2025</t>
  </si>
  <si>
    <t>13-07-2025</t>
  </si>
  <si>
    <t>04-06-2025</t>
  </si>
  <si>
    <t>19-03-2025</t>
  </si>
  <si>
    <t>21-02-2025</t>
  </si>
  <si>
    <t>16-08-2025</t>
  </si>
  <si>
    <t>18-02-2025</t>
  </si>
  <si>
    <t>04-07-2025</t>
  </si>
  <si>
    <t>26-05-2025</t>
  </si>
  <si>
    <t>06-08-2025</t>
  </si>
  <si>
    <t>30-03-2025</t>
  </si>
  <si>
    <t>31-08-2025</t>
  </si>
  <si>
    <t>03-09-2025</t>
  </si>
  <si>
    <t>16-01-2025</t>
  </si>
  <si>
    <t>16-05-2025</t>
  </si>
  <si>
    <t>15-03-2025</t>
  </si>
  <si>
    <t>22-09-2025</t>
  </si>
  <si>
    <t>24-03-2025</t>
  </si>
  <si>
    <t>26-04-2025</t>
  </si>
  <si>
    <t>18-03-2025</t>
  </si>
  <si>
    <t>14-07-2025</t>
  </si>
  <si>
    <t>13-01-2025</t>
  </si>
  <si>
    <t>08-07-2025</t>
  </si>
  <si>
    <t>28-06-2025</t>
  </si>
  <si>
    <t>11-08-2025</t>
  </si>
  <si>
    <t>17-07-2025</t>
  </si>
  <si>
    <t>02-06-2025</t>
  </si>
  <si>
    <t>03-04-2025</t>
  </si>
  <si>
    <t>14-09-2025</t>
  </si>
  <si>
    <t>10-03-2025</t>
  </si>
  <si>
    <t>21-01-2025</t>
  </si>
  <si>
    <t>02-03-2025</t>
  </si>
  <si>
    <t>25-04-2025</t>
  </si>
  <si>
    <t>15-08-2025</t>
  </si>
  <si>
    <t>01-09-2025</t>
  </si>
  <si>
    <t>22-06-2025</t>
  </si>
  <si>
    <t>22-08-2025</t>
  </si>
  <si>
    <t>18-01-2025</t>
  </si>
  <si>
    <t>15-09-2025</t>
  </si>
  <si>
    <t>21-04-2025</t>
  </si>
  <si>
    <t>19-05-2025</t>
  </si>
  <si>
    <t>17-09-2025</t>
  </si>
  <si>
    <t>08-02-2025</t>
  </si>
  <si>
    <t>03-05-2025</t>
  </si>
  <si>
    <t>27-03-2025</t>
  </si>
  <si>
    <t>11-02-2025</t>
  </si>
  <si>
    <t>09-02-2025</t>
  </si>
  <si>
    <t>28-08-2025</t>
  </si>
  <si>
    <t>30-01-2025</t>
  </si>
  <si>
    <t>07-03-2025</t>
  </si>
  <si>
    <t>21-08-2025</t>
  </si>
  <si>
    <t>21-05-2025</t>
  </si>
  <si>
    <t>06-07-2025</t>
  </si>
  <si>
    <t>17-06-2025</t>
  </si>
  <si>
    <t>05-08-2025</t>
  </si>
  <si>
    <t>31-05-2025</t>
  </si>
  <si>
    <t>16-03-2025</t>
  </si>
  <si>
    <t>23-04-2025</t>
  </si>
  <si>
    <t>06-02-2025</t>
  </si>
  <si>
    <t>10-08-2025</t>
  </si>
  <si>
    <t>31-01-2025</t>
  </si>
  <si>
    <t>09-08-2025</t>
  </si>
  <si>
    <t>25-02-2025</t>
  </si>
  <si>
    <t>12-05-2025</t>
  </si>
  <si>
    <t>23-03-2025</t>
  </si>
  <si>
    <t>23-08-2025</t>
  </si>
  <si>
    <t>23-05-2025</t>
  </si>
  <si>
    <t>06-05-2025</t>
  </si>
  <si>
    <t>26-01-2025</t>
  </si>
  <si>
    <t>04-08-2025</t>
  </si>
  <si>
    <t>18-04-2025</t>
  </si>
  <si>
    <t>22-02-2025</t>
  </si>
  <si>
    <t>14-08-2025</t>
  </si>
  <si>
    <t>11-05-2025</t>
  </si>
  <si>
    <t>07-02-2025</t>
  </si>
  <si>
    <t>25-05-2025</t>
  </si>
  <si>
    <t>03-02-2025</t>
  </si>
  <si>
    <t>16-07-2025</t>
  </si>
  <si>
    <t>15-02-2025</t>
  </si>
  <si>
    <t>31-03-2025</t>
  </si>
  <si>
    <t>20-08-2025</t>
  </si>
  <si>
    <t>14-02-2025</t>
  </si>
  <si>
    <t>27-09-2025</t>
  </si>
  <si>
    <t>28-01-2025</t>
  </si>
  <si>
    <t>14-01-2025</t>
  </si>
  <si>
    <t>01-06-2025</t>
  </si>
  <si>
    <t>26-09-2025</t>
  </si>
  <si>
    <t>06-03-2025</t>
  </si>
  <si>
    <t>10-07-2025</t>
  </si>
  <si>
    <t>10-04-2025</t>
  </si>
  <si>
    <t>31-07-2025</t>
  </si>
  <si>
    <t>01-01-2025</t>
  </si>
  <si>
    <t>07-07-2025</t>
  </si>
  <si>
    <t>01-08-2025</t>
  </si>
  <si>
    <t>08-09-2025</t>
  </si>
  <si>
    <t>16-06-2025</t>
  </si>
  <si>
    <t>21-03-2025</t>
  </si>
  <si>
    <t>21-09-2025</t>
  </si>
  <si>
    <t>20-02-2025</t>
  </si>
  <si>
    <t>30-05-2025</t>
  </si>
  <si>
    <t>04-02-2025</t>
  </si>
  <si>
    <t>28-02-2025</t>
  </si>
  <si>
    <t>05-05-2025</t>
  </si>
  <si>
    <t>28-09-2025</t>
  </si>
  <si>
    <t>20-07-2025</t>
  </si>
  <si>
    <t>18-06-2025</t>
  </si>
  <si>
    <t>09-06-2025</t>
  </si>
  <si>
    <t>24-06-2025</t>
  </si>
  <si>
    <t>29-05-2025</t>
  </si>
  <si>
    <t>14-06-2025</t>
  </si>
  <si>
    <t>02-04-2025</t>
  </si>
  <si>
    <t>24-04-2025</t>
  </si>
  <si>
    <t>27-07-2025</t>
  </si>
  <si>
    <t>06-01-2025</t>
  </si>
  <si>
    <t>22-05-2025</t>
  </si>
  <si>
    <t>13-08-2025</t>
  </si>
  <si>
    <t>02-07-2025</t>
  </si>
  <si>
    <t>17-01-2025</t>
  </si>
  <si>
    <t>21-06-2025</t>
  </si>
  <si>
    <t>25-09-2025</t>
  </si>
  <si>
    <t>03-03-2025</t>
  </si>
  <si>
    <t>26-08-2025</t>
  </si>
  <si>
    <t>23-07-2025</t>
  </si>
  <si>
    <t>27-04-2025</t>
  </si>
  <si>
    <t>13-06-2025</t>
  </si>
  <si>
    <t>Product</t>
  </si>
  <si>
    <t>MONITOR</t>
  </si>
  <si>
    <t>EXTERNAL HARD DRIVE</t>
  </si>
  <si>
    <t>KEYBOARD</t>
  </si>
  <si>
    <t>NETWORK ROUTER</t>
  </si>
  <si>
    <t>SOFTWARE LICENSES</t>
  </si>
  <si>
    <t>USB DRIVE</t>
  </si>
  <si>
    <t>PRINTER</t>
  </si>
  <si>
    <t>LAPTOP</t>
  </si>
  <si>
    <t>SMARTPHONE</t>
  </si>
  <si>
    <t>MOUSE</t>
  </si>
  <si>
    <t>SPEAKERS</t>
  </si>
  <si>
    <t>TABLET</t>
  </si>
  <si>
    <t>CHARGER</t>
  </si>
  <si>
    <t>HEADPHONES</t>
  </si>
  <si>
    <t>WEB CAMERA</t>
  </si>
  <si>
    <t>Quantity</t>
  </si>
  <si>
    <t>Price</t>
  </si>
  <si>
    <t>Total Revenue</t>
  </si>
  <si>
    <t>Average Order Value</t>
  </si>
  <si>
    <t>Total Sales</t>
  </si>
  <si>
    <t xml:space="preserve"> </t>
  </si>
  <si>
    <t>Sum of Total Revenue</t>
  </si>
  <si>
    <t>Grand Total</t>
  </si>
  <si>
    <t>Row Labels</t>
  </si>
  <si>
    <t>Month</t>
  </si>
  <si>
    <t>Total Revenue Calculate</t>
  </si>
  <si>
    <t>Top 4 Products</t>
  </si>
  <si>
    <t>July</t>
  </si>
  <si>
    <t>May</t>
  </si>
  <si>
    <t>January</t>
  </si>
  <si>
    <t>September</t>
  </si>
  <si>
    <t>June</t>
  </si>
  <si>
    <t>April</t>
  </si>
  <si>
    <t>March</t>
  </si>
  <si>
    <t>February</t>
  </si>
  <si>
    <t>August</t>
  </si>
  <si>
    <t>Sum of Price</t>
  </si>
  <si>
    <t>Sum of Quantity</t>
  </si>
  <si>
    <t>Total Revenue of month</t>
  </si>
  <si>
    <t>Total Revenue Of Each Product of every Month</t>
  </si>
  <si>
    <t>Sum of Total Revenue2</t>
  </si>
  <si>
    <t>Column Labels</t>
  </si>
  <si>
    <t>Sales Trends Over Time</t>
  </si>
  <si>
    <t>Sales distribution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</si>
</sst>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lt;999950]0.0,&quot;K&quot;;[&lt;999950000]0.0,,&quot;M&quot;;0.0,,,&quot;B&quot;"/>
  </numFmts>
  <fonts count="11" x14ac:knownFonts="1">
    <font>
      <sz val="11"/>
      <color theme="1"/>
      <name val="Calibri"/>
      <family val="2"/>
      <scheme val="minor"/>
    </font>
    <font>
      <sz val="12"/>
      <color theme="1" tint="0.34998626667073579"/>
      <name val="Times New Roman"/>
      <family val="1"/>
    </font>
    <font>
      <sz val="11"/>
      <color theme="1" tint="0.34998626667073579"/>
      <name val="Calibri"/>
      <family val="2"/>
      <scheme val="minor"/>
    </font>
    <font>
      <sz val="11"/>
      <color theme="0"/>
      <name val="Calibri"/>
      <family val="2"/>
      <scheme val="minor"/>
    </font>
    <font>
      <sz val="12"/>
      <color theme="1" tint="0.34998626667073579"/>
      <name val="Arial"/>
      <family val="2"/>
    </font>
    <font>
      <sz val="11"/>
      <color theme="1" tint="0.34998626667073579"/>
      <name val="Arial"/>
      <family val="2"/>
    </font>
    <font>
      <sz val="11"/>
      <color theme="0"/>
      <name val="Arial"/>
      <family val="2"/>
    </font>
    <font>
      <sz val="8"/>
      <name val="Calibri"/>
      <family val="2"/>
      <scheme val="minor"/>
    </font>
    <font>
      <sz val="11"/>
      <color theme="1"/>
      <name val="Aptos"/>
      <family val="2"/>
    </font>
    <font>
      <sz val="11"/>
      <color rgb="FFFF0000"/>
      <name val="Calibri"/>
      <family val="2"/>
      <scheme val="minor"/>
    </font>
    <font>
      <b/>
      <sz val="11"/>
      <color theme="1"/>
      <name val="Calibri"/>
      <family val="2"/>
      <scheme val="minor"/>
    </font>
  </fonts>
  <fills count="9">
    <fill>
      <patternFill patternType="none"/>
    </fill>
    <fill>
      <patternFill patternType="gray125"/>
    </fill>
    <fill>
      <patternFill patternType="solid">
        <fgColor rgb="FF362F4B"/>
        <bgColor indexed="64"/>
      </patternFill>
    </fill>
    <fill>
      <patternFill patternType="solid">
        <fgColor rgb="FFF6F6F6"/>
        <bgColor indexed="64"/>
      </patternFill>
    </fill>
    <fill>
      <patternFill patternType="solid">
        <fgColor rgb="FF4958CE"/>
        <bgColor indexed="64"/>
      </patternFill>
    </fill>
    <fill>
      <patternFill patternType="solid">
        <fgColor theme="0"/>
        <bgColor indexed="64"/>
      </patternFill>
    </fill>
    <fill>
      <patternFill patternType="solid">
        <fgColor rgb="FFF1F0F5"/>
        <bgColor indexed="64"/>
      </patternFill>
    </fill>
    <fill>
      <patternFill patternType="solid">
        <fgColor rgb="FF002060"/>
        <bgColor indexed="64"/>
      </patternFill>
    </fill>
    <fill>
      <patternFill patternType="solid">
        <fgColor theme="4" tint="-0.499984740745262"/>
        <bgColor indexed="64"/>
      </patternFill>
    </fill>
  </fills>
  <borders count="6">
    <border>
      <left/>
      <right/>
      <top/>
      <bottom/>
      <diagonal/>
    </border>
    <border>
      <left/>
      <right style="thin">
        <color rgb="FF4958CE"/>
      </right>
      <top/>
      <bottom/>
      <diagonal/>
    </border>
    <border>
      <left/>
      <right style="medium">
        <color theme="1" tint="4.9989318521683403E-2"/>
      </right>
      <top/>
      <bottom/>
      <diagonal/>
    </border>
    <border>
      <left style="medium">
        <color theme="1" tint="4.9989318521683403E-2"/>
      </left>
      <right/>
      <top/>
      <bottom/>
      <diagonal/>
    </border>
    <border>
      <left/>
      <right style="thin">
        <color indexed="64"/>
      </right>
      <top/>
      <bottom/>
      <diagonal/>
    </border>
    <border>
      <left style="thin">
        <color indexed="64"/>
      </left>
      <right/>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1" fillId="0" borderId="0" xfId="0" applyFont="1" applyAlignment="1">
      <alignment vertical="center"/>
    </xf>
    <xf numFmtId="0" fontId="5" fillId="0" borderId="0" xfId="0" applyFont="1" applyAlignment="1">
      <alignment horizontal="center"/>
    </xf>
    <xf numFmtId="0" fontId="4" fillId="0" borderId="0" xfId="0" applyFont="1" applyAlignment="1">
      <alignment horizontal="center"/>
    </xf>
    <xf numFmtId="0" fontId="6" fillId="2" borderId="0" xfId="0" applyFont="1" applyFill="1" applyAlignment="1">
      <alignment horizontal="center" vertical="center"/>
    </xf>
    <xf numFmtId="0" fontId="5" fillId="3" borderId="0" xfId="0" applyFont="1" applyFill="1" applyAlignment="1">
      <alignment horizontal="center"/>
    </xf>
    <xf numFmtId="0" fontId="4" fillId="3" borderId="0" xfId="0" applyFont="1" applyFill="1" applyAlignment="1">
      <alignment horizontal="center"/>
    </xf>
    <xf numFmtId="0" fontId="1" fillId="4" borderId="1" xfId="0" applyFont="1" applyFill="1" applyBorder="1"/>
    <xf numFmtId="0" fontId="1" fillId="4" borderId="1" xfId="0" applyFont="1" applyFill="1" applyBorder="1" applyAlignment="1">
      <alignment vertical="center"/>
    </xf>
    <xf numFmtId="0" fontId="1" fillId="5" borderId="1" xfId="0" applyFont="1" applyFill="1" applyBorder="1"/>
    <xf numFmtId="0" fontId="1" fillId="5" borderId="0" xfId="0" applyFont="1" applyFill="1"/>
    <xf numFmtId="0" fontId="0" fillId="6" borderId="0" xfId="0" applyFill="1"/>
    <xf numFmtId="0" fontId="8" fillId="6" borderId="0" xfId="0" applyFont="1" applyFill="1"/>
    <xf numFmtId="0" fontId="3" fillId="7" borderId="0" xfId="0" applyFont="1" applyFill="1"/>
    <xf numFmtId="164" fontId="0" fillId="0" borderId="0" xfId="0" applyNumberFormat="1" applyAlignment="1">
      <alignment horizontal="center"/>
    </xf>
    <xf numFmtId="0" fontId="0" fillId="0" borderId="2" xfId="0" applyBorder="1"/>
    <xf numFmtId="0" fontId="0" fillId="0" borderId="3" xfId="0" applyBorder="1"/>
    <xf numFmtId="0" fontId="0" fillId="0" borderId="0" xfId="0" applyAlignment="1">
      <alignment horizontal="left"/>
    </xf>
    <xf numFmtId="14" fontId="3" fillId="7" borderId="0" xfId="0" applyNumberFormat="1" applyFont="1" applyFill="1"/>
    <xf numFmtId="164" fontId="0" fillId="0" borderId="0" xfId="0" applyNumberFormat="1"/>
    <xf numFmtId="164" fontId="0" fillId="0" borderId="0" xfId="0" applyNumberFormat="1" applyAlignment="1">
      <alignment horizontal="left"/>
    </xf>
    <xf numFmtId="0" fontId="9" fillId="0" borderId="0" xfId="0" applyFont="1"/>
    <xf numFmtId="165" fontId="0" fillId="0" borderId="0" xfId="0" applyNumberFormat="1"/>
    <xf numFmtId="0" fontId="10" fillId="0" borderId="4" xfId="0" applyFont="1" applyBorder="1"/>
    <xf numFmtId="0" fontId="10" fillId="0" borderId="0" xfId="0" applyFont="1"/>
    <xf numFmtId="0" fontId="0" fillId="0" borderId="5" xfId="0" applyBorder="1"/>
    <xf numFmtId="0" fontId="10" fillId="0" borderId="5" xfId="0" applyFont="1" applyBorder="1"/>
    <xf numFmtId="164" fontId="0" fillId="5" borderId="0" xfId="0" applyNumberFormat="1" applyFill="1"/>
    <xf numFmtId="0" fontId="3" fillId="8" borderId="0" xfId="0" applyFont="1" applyFill="1"/>
    <xf numFmtId="0" fontId="0" fillId="0" borderId="0" xfId="0" applyNumberFormat="1"/>
  </cellXfs>
  <cellStyles count="1">
    <cellStyle name="Normal" xfId="0" builtinId="0"/>
  </cellStyles>
  <dxfs count="59">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dxf>
    <dxf>
      <fill>
        <patternFill>
          <bgColor theme="4" tint="-0.499984740745262"/>
        </patternFill>
      </fill>
    </dxf>
    <dxf>
      <fill>
        <patternFill patternType="solid">
          <bgColor theme="4" tint="-0.499984740745262"/>
        </patternFill>
      </fill>
    </dxf>
    <dxf>
      <fill>
        <patternFill>
          <bgColor theme="4" tint="-0.499984740745262"/>
        </patternFill>
      </fill>
    </dxf>
    <dxf>
      <fill>
        <patternFill>
          <bgColor theme="0"/>
        </patternFill>
      </fill>
    </dxf>
    <dxf>
      <fill>
        <patternFill patternType="solid">
          <bgColor theme="4" tint="-0.249977111117893"/>
        </patternFill>
      </fill>
    </dxf>
    <dxf>
      <font>
        <color theme="0"/>
      </font>
    </dxf>
    <dxf>
      <fill>
        <patternFill patternType="solid">
          <bgColor theme="4" tint="-0.249977111117893"/>
        </patternFill>
      </fill>
    </dxf>
    <dxf>
      <numFmt numFmtId="165" formatCode="[&lt;999950]0.0,&quot;K&quot;;[&lt;999950000]0.0,,&quot;M&quot;;0.0,,,&quot;B&quot;"/>
    </dxf>
    <dxf>
      <numFmt numFmtId="164" formatCode="&quot;₹&quot;\ #,##0"/>
    </dxf>
    <dxf>
      <numFmt numFmtId="164" formatCode="&quot;₹&quot;\ #,##0"/>
    </dxf>
    <dxf>
      <numFmt numFmtId="164" formatCode="&quot;₹&quot;\ #,##0"/>
    </dxf>
    <dxf>
      <fill>
        <patternFill>
          <bgColor rgb="FF002060"/>
        </patternFill>
      </fill>
    </dxf>
    <dxf>
      <alignment horizontal="center"/>
    </dxf>
    <dxf>
      <font>
        <color theme="0"/>
      </font>
    </dxf>
    <dxf>
      <fill>
        <patternFill patternType="solid">
          <bgColor theme="1"/>
        </patternFill>
      </fill>
    </dxf>
    <dxf>
      <font>
        <color theme="0"/>
      </font>
      <numFmt numFmtId="19" formatCode="dd/mm/yyyy"/>
      <fill>
        <patternFill patternType="solid">
          <fgColor indexed="64"/>
          <bgColor rgb="FF002060"/>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color theme="0"/>
      </font>
      <numFmt numFmtId="19" formatCode="dd/mm/yyyy"/>
      <fill>
        <patternFill patternType="solid">
          <fgColor indexed="64"/>
          <bgColor rgb="FF002060"/>
        </patternFill>
      </fill>
    </dxf>
    <dxf>
      <font>
        <color theme="0"/>
      </font>
    </dxf>
    <dxf>
      <fill>
        <patternFill patternType="solid">
          <bgColor rgb="FF002060"/>
        </patternFill>
      </fill>
    </dxf>
    <dxf>
      <numFmt numFmtId="164" formatCode="&quot;₹&quot;\ #,##0"/>
    </dxf>
    <dxf>
      <alignment horizontal="center"/>
    </dxf>
    <dxf>
      <numFmt numFmtId="164" formatCode="&quot;₹&quot;\ #,##0"/>
    </dxf>
    <dxf>
      <font>
        <color theme="0"/>
      </font>
      <numFmt numFmtId="19" formatCode="dd/mm/yyyy"/>
      <fill>
        <patternFill patternType="solid">
          <fgColor indexed="64"/>
          <bgColor rgb="FF002060"/>
        </patternFill>
      </fill>
    </dxf>
    <dxf>
      <font>
        <color theme="0"/>
      </font>
      <numFmt numFmtId="19" formatCode="dd/mm/yyyy"/>
      <fill>
        <patternFill patternType="solid">
          <fgColor indexed="64"/>
          <bgColor rgb="FF002060"/>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s>
  <tableStyles count="0" defaultTableStyle="TableStyleMedium2" defaultPivotStyle="PivotStyleLight16"/>
  <colors>
    <mruColors>
      <color rgb="FF8E41C7"/>
      <color rgb="FFA365D1"/>
      <color rgb="FF4958CE"/>
      <color rgb="FF8D7EF3"/>
      <color rgb="FFA13F9E"/>
      <color rgb="FFE74F65"/>
      <color rgb="FF362F4B"/>
      <color rgb="FFF1F0F5"/>
      <color rgb="FFF6F6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PROJECT1.xlsx]Pivot Tables2!PivotTable8</c:name>
    <c:fmtId val="45"/>
  </c:pivotSource>
  <c:chart>
    <c:autoTitleDeleted val="1"/>
    <c:pivotFmts>
      <c:pivotFmt>
        <c:idx val="0"/>
        <c:spPr>
          <a:solidFill>
            <a:schemeClr val="accent1"/>
          </a:solidFill>
          <a:ln w="2540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7755249343832041E-2"/>
              <c:y val="4.3427668784893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6.1921916010498686E-2"/>
              <c:y val="6.3846249693520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1505249343832021E-2"/>
              <c:y val="5.8741604466363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1505249343832098E-2"/>
              <c:y val="4.3427668784893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5671916010498687E-2"/>
              <c:y val="6.8434401289425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1505249343832021E-2"/>
              <c:y val="3.3218378330580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3.9005249343832177E-2"/>
              <c:y val="3.3218378330580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9838582677165505E-2"/>
              <c:y val="4.853231401205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1.5508858267716535E-2"/>
              <c:y val="2.8113733103423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6.1921916010498686E-2"/>
              <c:y val="6.3846249693520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7755249343832041E-2"/>
              <c:y val="4.3427668784893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1505249343832021E-2"/>
              <c:y val="5.8741604466363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1505249343832098E-2"/>
              <c:y val="4.3427668784893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5671916010498687E-2"/>
              <c:y val="6.8434401289425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1505249343832021E-2"/>
              <c:y val="3.3218378330580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3.9005249343832177E-2"/>
              <c:y val="3.3218378330580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9838582677165505E-2"/>
              <c:y val="4.853231401205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1.5508858267716535E-2"/>
              <c:y val="2.8113733103423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540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6.1921916010498686E-2"/>
              <c:y val="6.3846249693520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7755249343832041E-2"/>
              <c:y val="4.3427668784893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1505249343832021E-2"/>
              <c:y val="5.8741604466363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1505249343832098E-2"/>
              <c:y val="4.3427668784893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5671916010498687E-2"/>
              <c:y val="6.8434401289425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1505249343832021E-2"/>
              <c:y val="3.3218378330580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3.9005249343832177E-2"/>
              <c:y val="3.3218378330580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5.9838582677165505E-2"/>
              <c:y val="4.853231401205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gradFill>
              <a:gsLst>
                <a:gs pos="0">
                  <a:schemeClr val="accent2"/>
                </a:gs>
                <a:gs pos="100000">
                  <a:schemeClr val="accent2">
                    <a:lumMod val="60000"/>
                    <a:lumOff val="40000"/>
                  </a:schemeClr>
                </a:gs>
              </a:gsLst>
              <a:lin ang="5400000" scaled="1"/>
            </a:gradFill>
            <a:round/>
          </a:ln>
          <a:effectLst/>
        </c:spPr>
        <c:marker>
          <c:symbol val="none"/>
        </c:marker>
        <c:dLbl>
          <c:idx val="0"/>
          <c:layout>
            <c:manualLayout>
              <c:x val="-1.5508858267716535E-2"/>
              <c:y val="2.8113733103423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'Pivot Tables2'!$B$3</c:f>
              <c:strCache>
                <c:ptCount val="1"/>
                <c:pt idx="0">
                  <c:v>Sum of Total Revenue</c:v>
                </c:pt>
              </c:strCache>
            </c:strRef>
          </c:tx>
          <c:spPr>
            <a:ln w="25400" cap="rnd">
              <a:solidFill>
                <a:srgbClr val="8D7EF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Tables2'!$A$4:$A$13</c:f>
              <c:strCache>
                <c:ptCount val="9"/>
                <c:pt idx="0">
                  <c:v>January</c:v>
                </c:pt>
                <c:pt idx="1">
                  <c:v>February</c:v>
                </c:pt>
                <c:pt idx="2">
                  <c:v>March</c:v>
                </c:pt>
                <c:pt idx="3">
                  <c:v>April</c:v>
                </c:pt>
                <c:pt idx="4">
                  <c:v>May</c:v>
                </c:pt>
                <c:pt idx="5">
                  <c:v>June</c:v>
                </c:pt>
                <c:pt idx="6">
                  <c:v>July</c:v>
                </c:pt>
                <c:pt idx="7">
                  <c:v>August</c:v>
                </c:pt>
                <c:pt idx="8">
                  <c:v>September</c:v>
                </c:pt>
              </c:strCache>
            </c:strRef>
          </c:cat>
          <c:val>
            <c:numRef>
              <c:f>'Pivot Tables2'!$B$4:$B$13</c:f>
              <c:numCache>
                <c:formatCode>[&lt;999950]0.0,"K";[&lt;999950000]0.0,,"M";0.0,,,"B"</c:formatCode>
                <c:ptCount val="9"/>
                <c:pt idx="0">
                  <c:v>524000</c:v>
                </c:pt>
                <c:pt idx="1">
                  <c:v>270500</c:v>
                </c:pt>
                <c:pt idx="2">
                  <c:v>567800</c:v>
                </c:pt>
                <c:pt idx="3">
                  <c:v>521500</c:v>
                </c:pt>
                <c:pt idx="4">
                  <c:v>823800</c:v>
                </c:pt>
                <c:pt idx="5">
                  <c:v>483600</c:v>
                </c:pt>
                <c:pt idx="6">
                  <c:v>726000</c:v>
                </c:pt>
                <c:pt idx="7">
                  <c:v>806700</c:v>
                </c:pt>
                <c:pt idx="8">
                  <c:v>635800</c:v>
                </c:pt>
              </c:numCache>
            </c:numRef>
          </c:val>
          <c:smooth val="1"/>
          <c:extLst>
            <c:ext xmlns:c16="http://schemas.microsoft.com/office/drawing/2014/chart" uri="{C3380CC4-5D6E-409C-BE32-E72D297353CC}">
              <c16:uniqueId val="{00000000-EFB9-48F7-B744-E0196B8AF202}"/>
            </c:ext>
          </c:extLst>
        </c:ser>
        <c:ser>
          <c:idx val="1"/>
          <c:order val="1"/>
          <c:tx>
            <c:strRef>
              <c:f>'Pivot Tables2'!$C$3</c:f>
              <c:strCache>
                <c:ptCount val="1"/>
                <c:pt idx="0">
                  <c:v>Sum of Total Revenue2</c:v>
                </c:pt>
              </c:strCache>
            </c:strRef>
          </c:tx>
          <c:spPr>
            <a:ln w="28575" cap="rnd">
              <a:gradFill>
                <a:gsLst>
                  <a:gs pos="0">
                    <a:schemeClr val="accent2"/>
                  </a:gs>
                  <a:gs pos="100000">
                    <a:schemeClr val="accent2">
                      <a:lumMod val="60000"/>
                      <a:lumOff val="40000"/>
                    </a:schemeClr>
                  </a:gs>
                </a:gsLst>
                <a:lin ang="5400000" scaled="1"/>
              </a:gradFill>
              <a:round/>
            </a:ln>
            <a:effectLst/>
          </c:spPr>
          <c:marker>
            <c:symbol val="none"/>
          </c:marker>
          <c:dPt>
            <c:idx val="0"/>
            <c:marker>
              <c:symbol val="none"/>
            </c:marker>
            <c:bubble3D val="0"/>
            <c:extLst>
              <c:ext xmlns:c16="http://schemas.microsoft.com/office/drawing/2014/chart" uri="{C3380CC4-5D6E-409C-BE32-E72D297353CC}">
                <c16:uniqueId val="{00000002-EFB9-48F7-B744-E0196B8AF202}"/>
              </c:ext>
            </c:extLst>
          </c:dPt>
          <c:dPt>
            <c:idx val="1"/>
            <c:marker>
              <c:symbol val="none"/>
            </c:marker>
            <c:bubble3D val="0"/>
            <c:extLst>
              <c:ext xmlns:c16="http://schemas.microsoft.com/office/drawing/2014/chart" uri="{C3380CC4-5D6E-409C-BE32-E72D297353CC}">
                <c16:uniqueId val="{00000003-EFB9-48F7-B744-E0196B8AF202}"/>
              </c:ext>
            </c:extLst>
          </c:dPt>
          <c:dPt>
            <c:idx val="2"/>
            <c:marker>
              <c:symbol val="none"/>
            </c:marker>
            <c:bubble3D val="0"/>
            <c:extLst>
              <c:ext xmlns:c16="http://schemas.microsoft.com/office/drawing/2014/chart" uri="{C3380CC4-5D6E-409C-BE32-E72D297353CC}">
                <c16:uniqueId val="{00000004-EFB9-48F7-B744-E0196B8AF202}"/>
              </c:ext>
            </c:extLst>
          </c:dPt>
          <c:dPt>
            <c:idx val="3"/>
            <c:marker>
              <c:symbol val="none"/>
            </c:marker>
            <c:bubble3D val="0"/>
            <c:extLst>
              <c:ext xmlns:c16="http://schemas.microsoft.com/office/drawing/2014/chart" uri="{C3380CC4-5D6E-409C-BE32-E72D297353CC}">
                <c16:uniqueId val="{00000005-EFB9-48F7-B744-E0196B8AF202}"/>
              </c:ext>
            </c:extLst>
          </c:dPt>
          <c:dPt>
            <c:idx val="4"/>
            <c:marker>
              <c:symbol val="none"/>
            </c:marker>
            <c:bubble3D val="0"/>
            <c:extLst>
              <c:ext xmlns:c16="http://schemas.microsoft.com/office/drawing/2014/chart" uri="{C3380CC4-5D6E-409C-BE32-E72D297353CC}">
                <c16:uniqueId val="{00000006-EFB9-48F7-B744-E0196B8AF202}"/>
              </c:ext>
            </c:extLst>
          </c:dPt>
          <c:dPt>
            <c:idx val="5"/>
            <c:marker>
              <c:symbol val="none"/>
            </c:marker>
            <c:bubble3D val="0"/>
            <c:extLst>
              <c:ext xmlns:c16="http://schemas.microsoft.com/office/drawing/2014/chart" uri="{C3380CC4-5D6E-409C-BE32-E72D297353CC}">
                <c16:uniqueId val="{00000007-EFB9-48F7-B744-E0196B8AF202}"/>
              </c:ext>
            </c:extLst>
          </c:dPt>
          <c:dPt>
            <c:idx val="6"/>
            <c:marker>
              <c:symbol val="none"/>
            </c:marker>
            <c:bubble3D val="0"/>
            <c:extLst>
              <c:ext xmlns:c16="http://schemas.microsoft.com/office/drawing/2014/chart" uri="{C3380CC4-5D6E-409C-BE32-E72D297353CC}">
                <c16:uniqueId val="{00000001-EFB9-48F7-B744-E0196B8AF202}"/>
              </c:ext>
            </c:extLst>
          </c:dPt>
          <c:dPt>
            <c:idx val="7"/>
            <c:marker>
              <c:symbol val="none"/>
            </c:marker>
            <c:bubble3D val="0"/>
            <c:extLst>
              <c:ext xmlns:c16="http://schemas.microsoft.com/office/drawing/2014/chart" uri="{C3380CC4-5D6E-409C-BE32-E72D297353CC}">
                <c16:uniqueId val="{00000008-EFB9-48F7-B744-E0196B8AF202}"/>
              </c:ext>
            </c:extLst>
          </c:dPt>
          <c:dPt>
            <c:idx val="8"/>
            <c:marker>
              <c:symbol val="none"/>
            </c:marker>
            <c:bubble3D val="0"/>
            <c:extLst>
              <c:ext xmlns:c16="http://schemas.microsoft.com/office/drawing/2014/chart" uri="{C3380CC4-5D6E-409C-BE32-E72D297353CC}">
                <c16:uniqueId val="{00000009-EFB9-48F7-B744-E0196B8AF202}"/>
              </c:ext>
            </c:extLst>
          </c:dPt>
          <c:dLbls>
            <c:dLbl>
              <c:idx val="0"/>
              <c:layout>
                <c:manualLayout>
                  <c:x val="-6.1921916010498686E-2"/>
                  <c:y val="6.3846249693520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B9-48F7-B744-E0196B8AF202}"/>
                </c:ext>
              </c:extLst>
            </c:dLbl>
            <c:dLbl>
              <c:idx val="1"/>
              <c:layout>
                <c:manualLayout>
                  <c:x val="-5.7755249343832041E-2"/>
                  <c:y val="4.34276687848934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B9-48F7-B744-E0196B8AF202}"/>
                </c:ext>
              </c:extLst>
            </c:dLbl>
            <c:dLbl>
              <c:idx val="2"/>
              <c:layout>
                <c:manualLayout>
                  <c:x val="-5.1505249343832021E-2"/>
                  <c:y val="5.8741604466363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B9-48F7-B744-E0196B8AF202}"/>
                </c:ext>
              </c:extLst>
            </c:dLbl>
            <c:dLbl>
              <c:idx val="3"/>
              <c:layout>
                <c:manualLayout>
                  <c:x val="-5.1505249343832098E-2"/>
                  <c:y val="4.34276687848934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B9-48F7-B744-E0196B8AF202}"/>
                </c:ext>
              </c:extLst>
            </c:dLbl>
            <c:dLbl>
              <c:idx val="4"/>
              <c:layout>
                <c:manualLayout>
                  <c:x val="-5.5671916010498687E-2"/>
                  <c:y val="6.84344012894253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B9-48F7-B744-E0196B8AF202}"/>
                </c:ext>
              </c:extLst>
            </c:dLbl>
            <c:dLbl>
              <c:idx val="5"/>
              <c:layout>
                <c:manualLayout>
                  <c:x val="-5.1505249343832021E-2"/>
                  <c:y val="3.32183783305800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B9-48F7-B744-E0196B8AF202}"/>
                </c:ext>
              </c:extLst>
            </c:dLbl>
            <c:dLbl>
              <c:idx val="6"/>
              <c:layout>
                <c:manualLayout>
                  <c:x val="-3.9005249343832177E-2"/>
                  <c:y val="3.32183783305800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B9-48F7-B744-E0196B8AF202}"/>
                </c:ext>
              </c:extLst>
            </c:dLbl>
            <c:dLbl>
              <c:idx val="7"/>
              <c:layout>
                <c:manualLayout>
                  <c:x val="-5.9838582677165505E-2"/>
                  <c:y val="4.853231401205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B9-48F7-B744-E0196B8AF202}"/>
                </c:ext>
              </c:extLst>
            </c:dLbl>
            <c:dLbl>
              <c:idx val="8"/>
              <c:layout>
                <c:manualLayout>
                  <c:x val="-1.5508858267716535E-2"/>
                  <c:y val="2.81137331034233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B9-48F7-B744-E0196B8AF2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Tables2'!$A$4:$A$13</c:f>
              <c:strCache>
                <c:ptCount val="9"/>
                <c:pt idx="0">
                  <c:v>January</c:v>
                </c:pt>
                <c:pt idx="1">
                  <c:v>February</c:v>
                </c:pt>
                <c:pt idx="2">
                  <c:v>March</c:v>
                </c:pt>
                <c:pt idx="3">
                  <c:v>April</c:v>
                </c:pt>
                <c:pt idx="4">
                  <c:v>May</c:v>
                </c:pt>
                <c:pt idx="5">
                  <c:v>June</c:v>
                </c:pt>
                <c:pt idx="6">
                  <c:v>July</c:v>
                </c:pt>
                <c:pt idx="7">
                  <c:v>August</c:v>
                </c:pt>
                <c:pt idx="8">
                  <c:v>September</c:v>
                </c:pt>
              </c:strCache>
            </c:strRef>
          </c:cat>
          <c:val>
            <c:numRef>
              <c:f>'Pivot Tables2'!$C$4:$C$13</c:f>
              <c:numCache>
                <c:formatCode>"₹"\ #,##0</c:formatCode>
                <c:ptCount val="9"/>
                <c:pt idx="0">
                  <c:v>524000</c:v>
                </c:pt>
                <c:pt idx="1">
                  <c:v>270500</c:v>
                </c:pt>
                <c:pt idx="2">
                  <c:v>567800</c:v>
                </c:pt>
                <c:pt idx="3">
                  <c:v>521500</c:v>
                </c:pt>
                <c:pt idx="4">
                  <c:v>823800</c:v>
                </c:pt>
                <c:pt idx="5">
                  <c:v>483600</c:v>
                </c:pt>
                <c:pt idx="6">
                  <c:v>726000</c:v>
                </c:pt>
                <c:pt idx="7">
                  <c:v>806700</c:v>
                </c:pt>
                <c:pt idx="8">
                  <c:v>635800</c:v>
                </c:pt>
              </c:numCache>
            </c:numRef>
          </c:val>
          <c:smooth val="0"/>
          <c:extLst>
            <c:ext xmlns:c16="http://schemas.microsoft.com/office/drawing/2014/chart" uri="{C3380CC4-5D6E-409C-BE32-E72D297353CC}">
              <c16:uniqueId val="{0000000A-EFB9-48F7-B744-E0196B8AF202}"/>
            </c:ext>
          </c:extLst>
        </c:ser>
        <c:dLbls>
          <c:dLblPos val="t"/>
          <c:showLegendKey val="0"/>
          <c:showVal val="1"/>
          <c:showCatName val="0"/>
          <c:showSerName val="0"/>
          <c:showPercent val="0"/>
          <c:showBubbleSize val="0"/>
        </c:dLbls>
        <c:smooth val="0"/>
        <c:axId val="1267221360"/>
        <c:axId val="1484427744"/>
      </c:lineChart>
      <c:catAx>
        <c:axId val="1267221360"/>
        <c:scaling>
          <c:orientation val="minMax"/>
        </c:scaling>
        <c:delete val="1"/>
        <c:axPos val="b"/>
        <c:numFmt formatCode="General" sourceLinked="1"/>
        <c:majorTickMark val="none"/>
        <c:minorTickMark val="none"/>
        <c:tickLblPos val="nextTo"/>
        <c:crossAx val="1484427744"/>
        <c:crosses val="autoZero"/>
        <c:auto val="1"/>
        <c:lblAlgn val="ctr"/>
        <c:lblOffset val="100"/>
        <c:noMultiLvlLbl val="0"/>
      </c:catAx>
      <c:valAx>
        <c:axId val="1484427744"/>
        <c:scaling>
          <c:orientation val="minMax"/>
        </c:scaling>
        <c:delete val="1"/>
        <c:axPos val="l"/>
        <c:numFmt formatCode="[&lt;999950]0.0,&quot;K&quot;;[&lt;999950000]0.0,,&quot;M&quot;;0.0,,,&quot;B&quot;" sourceLinked="1"/>
        <c:majorTickMark val="none"/>
        <c:minorTickMark val="none"/>
        <c:tickLblPos val="nextTo"/>
        <c:crossAx val="12672213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PROJECT1.xlsx]Pivot Tables2!PivotTable4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bg1">
              <a:lumMod val="8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bg1">
              <a:lumMod val="6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bg1">
              <a:lumMod val="6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Tables2'!$G$3:$G$4</c:f>
              <c:strCache>
                <c:ptCount val="1"/>
                <c:pt idx="0">
                  <c:v>KEYBOARD</c:v>
                </c:pt>
              </c:strCache>
            </c:strRef>
          </c:tx>
          <c:spPr>
            <a:solidFill>
              <a:schemeClr val="tx1">
                <a:lumMod val="75000"/>
                <a:lumOff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Tables2'!$F$5:$F$19</c:f>
              <c:strCache>
                <c:ptCount val="14"/>
                <c:pt idx="0">
                  <c:v>02-07-2025</c:v>
                </c:pt>
                <c:pt idx="1">
                  <c:v>04-02-2025</c:v>
                </c:pt>
                <c:pt idx="2">
                  <c:v>05-05-2025</c:v>
                </c:pt>
                <c:pt idx="3">
                  <c:v>06-01-2025</c:v>
                </c:pt>
                <c:pt idx="4">
                  <c:v>06-05-2025</c:v>
                </c:pt>
                <c:pt idx="5">
                  <c:v>09-02-2025</c:v>
                </c:pt>
                <c:pt idx="6">
                  <c:v>11-07-2025</c:v>
                </c:pt>
                <c:pt idx="7">
                  <c:v>11-08-2025</c:v>
                </c:pt>
                <c:pt idx="8">
                  <c:v>15-09-2025</c:v>
                </c:pt>
                <c:pt idx="9">
                  <c:v>22-05-2025</c:v>
                </c:pt>
                <c:pt idx="10">
                  <c:v>22-06-2025</c:v>
                </c:pt>
                <c:pt idx="11">
                  <c:v>22-08-2025</c:v>
                </c:pt>
                <c:pt idx="12">
                  <c:v>24-03-2025</c:v>
                </c:pt>
                <c:pt idx="13">
                  <c:v>30-05-2025</c:v>
                </c:pt>
              </c:strCache>
            </c:strRef>
          </c:cat>
          <c:val>
            <c:numRef>
              <c:f>'Pivot Tables2'!$G$5:$G$19</c:f>
              <c:numCache>
                <c:formatCode>General</c:formatCode>
                <c:ptCount val="14"/>
                <c:pt idx="0">
                  <c:v>800</c:v>
                </c:pt>
                <c:pt idx="1">
                  <c:v>1600</c:v>
                </c:pt>
                <c:pt idx="2">
                  <c:v>2400</c:v>
                </c:pt>
                <c:pt idx="3">
                  <c:v>2400</c:v>
                </c:pt>
                <c:pt idx="4">
                  <c:v>1600</c:v>
                </c:pt>
                <c:pt idx="5">
                  <c:v>1600</c:v>
                </c:pt>
                <c:pt idx="6">
                  <c:v>2400</c:v>
                </c:pt>
                <c:pt idx="7">
                  <c:v>4000</c:v>
                </c:pt>
                <c:pt idx="8">
                  <c:v>1600</c:v>
                </c:pt>
                <c:pt idx="9">
                  <c:v>2400</c:v>
                </c:pt>
                <c:pt idx="10">
                  <c:v>4000</c:v>
                </c:pt>
                <c:pt idx="11">
                  <c:v>800</c:v>
                </c:pt>
                <c:pt idx="12">
                  <c:v>1600</c:v>
                </c:pt>
                <c:pt idx="13">
                  <c:v>2400</c:v>
                </c:pt>
              </c:numCache>
            </c:numRef>
          </c:val>
          <c:extLst>
            <c:ext xmlns:c16="http://schemas.microsoft.com/office/drawing/2014/chart" uri="{C3380CC4-5D6E-409C-BE32-E72D297353CC}">
              <c16:uniqueId val="{00000000-4E22-4BDB-9246-9DE3A52737B4}"/>
            </c:ext>
          </c:extLst>
        </c:ser>
        <c:dLbls>
          <c:showLegendKey val="0"/>
          <c:showVal val="1"/>
          <c:showCatName val="0"/>
          <c:showSerName val="0"/>
          <c:showPercent val="0"/>
          <c:showBubbleSize val="0"/>
        </c:dLbls>
        <c:gapWidth val="150"/>
        <c:shape val="box"/>
        <c:axId val="115583311"/>
        <c:axId val="115586191"/>
        <c:axId val="0"/>
      </c:bar3DChart>
      <c:catAx>
        <c:axId val="115583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6191"/>
        <c:crosses val="autoZero"/>
        <c:auto val="1"/>
        <c:lblAlgn val="ctr"/>
        <c:lblOffset val="100"/>
        <c:noMultiLvlLbl val="0"/>
      </c:catAx>
      <c:valAx>
        <c:axId val="115586191"/>
        <c:scaling>
          <c:orientation val="minMax"/>
        </c:scaling>
        <c:delete val="1"/>
        <c:axPos val="l"/>
        <c:numFmt formatCode="General" sourceLinked="1"/>
        <c:majorTickMark val="none"/>
        <c:minorTickMark val="none"/>
        <c:tickLblPos val="nextTo"/>
        <c:crossAx val="11558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PROJECT1.xlsx]Pivot Tables2!PivotTable6</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distribution by month</a:t>
            </a:r>
            <a:endParaRPr lang="en-US"/>
          </a:p>
        </c:rich>
      </c:tx>
      <c:layout>
        <c:manualLayout>
          <c:xMode val="edge"/>
          <c:yMode val="edge"/>
          <c:x val="0.23190331941307557"/>
          <c:y val="2.202427518231968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pivotFmt>
      <c:pivotFmt>
        <c:idx val="136"/>
      </c:pivotFmt>
      <c:pivotFmt>
        <c:idx val="1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8"/>
      </c:pivotFmt>
      <c:pivotFmt>
        <c:idx val="139"/>
      </c:pivotFmt>
      <c:pivotFmt>
        <c:idx val="1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1"/>
      </c:pivotFmt>
      <c:pivotFmt>
        <c:idx val="142"/>
      </c:pivotFmt>
      <c:pivotFmt>
        <c:idx val="143"/>
      </c:pivotFmt>
      <c:pivotFmt>
        <c:idx val="1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5"/>
      </c:pivotFmt>
      <c:pivotFmt>
        <c:idx val="1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7"/>
      </c:pivotFmt>
      <c:pivotFmt>
        <c:idx val="148"/>
      </c:pivotFmt>
      <c:pivotFmt>
        <c:idx val="149"/>
      </c:pivotFmt>
      <c:pivotFmt>
        <c:idx val="1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1"/>
      </c:pivotFmt>
      <c:pivotFmt>
        <c:idx val="152"/>
      </c:pivotFmt>
      <c:pivotFmt>
        <c:idx val="153"/>
      </c:pivotFmt>
      <c:pivotFmt>
        <c:idx val="1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7"/>
      </c:pivotFmt>
      <c:pivotFmt>
        <c:idx val="1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9"/>
      </c:pivotFmt>
      <c:pivotFmt>
        <c:idx val="170"/>
      </c:pivotFmt>
      <c:pivotFmt>
        <c:idx val="171"/>
      </c:pivotFmt>
      <c:pivotFmt>
        <c:idx val="172"/>
      </c:pivotFmt>
      <c:pivotFmt>
        <c:idx val="1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4"/>
      </c:pivotFmt>
      <c:pivotFmt>
        <c:idx val="175"/>
      </c:pivotFmt>
      <c:pivotFmt>
        <c:idx val="1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8"/>
      </c:pivotFmt>
      <c:pivotFmt>
        <c:idx val="179"/>
      </c:pivotFmt>
      <c:pivotFmt>
        <c:idx val="18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1"/>
      </c:pivotFmt>
      <c:pivotFmt>
        <c:idx val="1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3"/>
      </c:pivotFmt>
      <c:pivotFmt>
        <c:idx val="184"/>
      </c:pivotFmt>
      <c:pivotFmt>
        <c:idx val="185"/>
      </c:pivotFmt>
      <c:pivotFmt>
        <c:idx val="186"/>
      </c:pivotFmt>
      <c:pivotFmt>
        <c:idx val="187"/>
      </c:pivotFmt>
      <c:pivotFmt>
        <c:idx val="18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9"/>
      </c:pivotFmt>
      <c:pivotFmt>
        <c:idx val="190"/>
      </c:pivotFmt>
      <c:pivotFmt>
        <c:idx val="191"/>
      </c:pivotFmt>
      <c:pivotFmt>
        <c:idx val="1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3"/>
      </c:pivotFmt>
      <c:pivotFmt>
        <c:idx val="204"/>
      </c:pivotFmt>
      <c:pivotFmt>
        <c:idx val="205"/>
      </c:pivotFmt>
      <c:pivotFmt>
        <c:idx val="206"/>
      </c:pivotFmt>
      <c:pivotFmt>
        <c:idx val="207"/>
      </c:pivotFmt>
      <c:pivotFmt>
        <c:idx val="208"/>
      </c:pivotFmt>
      <c:pivotFmt>
        <c:idx val="209"/>
      </c:pivotFmt>
      <c:pivotFmt>
        <c:idx val="2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2"/>
      </c:pivotFmt>
      <c:pivotFmt>
        <c:idx val="213"/>
      </c:pivotFmt>
      <c:pivotFmt>
        <c:idx val="214"/>
      </c:pivotFmt>
      <c:pivotFmt>
        <c:idx val="215"/>
      </c:pivotFmt>
      <c:pivotFmt>
        <c:idx val="216"/>
      </c:pivotFmt>
      <c:pivotFmt>
        <c:idx val="2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8"/>
      </c:pivotFmt>
      <c:pivotFmt>
        <c:idx val="219"/>
      </c:pivotFmt>
      <c:pivotFmt>
        <c:idx val="220"/>
      </c:pivotFmt>
      <c:pivotFmt>
        <c:idx val="221"/>
      </c:pivotFmt>
      <c:pivotFmt>
        <c:idx val="2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3"/>
      </c:pivotFmt>
      <c:pivotFmt>
        <c:idx val="224"/>
      </c:pivotFmt>
      <c:pivotFmt>
        <c:idx val="2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6"/>
      </c:pivotFmt>
      <c:pivotFmt>
        <c:idx val="227"/>
      </c:pivotFmt>
      <c:pivotFmt>
        <c:idx val="228"/>
      </c:pivotFmt>
      <c:pivotFmt>
        <c:idx val="229"/>
      </c:pivotFmt>
      <c:pivotFmt>
        <c:idx val="230"/>
      </c:pivotFmt>
      <c:pivotFmt>
        <c:idx val="2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4"/>
      </c:pivotFmt>
      <c:pivotFmt>
        <c:idx val="235"/>
      </c:pivotFmt>
      <c:pivotFmt>
        <c:idx val="236"/>
      </c:pivotFmt>
      <c:pivotFmt>
        <c:idx val="2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8"/>
      </c:pivotFmt>
      <c:pivotFmt>
        <c:idx val="239"/>
      </c:pivotFmt>
      <c:pivotFmt>
        <c:idx val="2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2"/>
      </c:pivotFmt>
      <c:pivotFmt>
        <c:idx val="243"/>
      </c:pivotFmt>
      <c:pivotFmt>
        <c:idx val="2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5"/>
      </c:pivotFmt>
      <c:pivotFmt>
        <c:idx val="2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7"/>
      </c:pivotFmt>
      <c:pivotFmt>
        <c:idx val="248"/>
      </c:pivotFmt>
      <c:pivotFmt>
        <c:idx val="2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1"/>
      </c:pivotFmt>
      <c:pivotFmt>
        <c:idx val="2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5"/>
      </c:pivotFmt>
      <c:pivotFmt>
        <c:idx val="256"/>
      </c:pivotFmt>
      <c:pivotFmt>
        <c:idx val="257"/>
      </c:pivotFmt>
      <c:pivotFmt>
        <c:idx val="258"/>
      </c:pivotFmt>
      <c:pivotFmt>
        <c:idx val="2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0"/>
      </c:pivotFmt>
      <c:pivotFmt>
        <c:idx val="261"/>
      </c:pivotFmt>
      <c:pivotFmt>
        <c:idx val="2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3"/>
      </c:pivotFmt>
      <c:pivotFmt>
        <c:idx val="264"/>
      </c:pivotFmt>
      <c:pivotFmt>
        <c:idx val="265"/>
      </c:pivotFmt>
      <c:pivotFmt>
        <c:idx val="266"/>
      </c:pivotFmt>
    </c:pivotFmts>
    <c:plotArea>
      <c:layout>
        <c:manualLayout>
          <c:layoutTarget val="inner"/>
          <c:xMode val="edge"/>
          <c:yMode val="edge"/>
          <c:x val="0.17098558568633901"/>
          <c:y val="0.18969419844791405"/>
          <c:w val="0.52743749658945815"/>
          <c:h val="0.87178966591432017"/>
        </c:manualLayout>
      </c:layout>
      <c:pieChart>
        <c:varyColors val="1"/>
        <c:ser>
          <c:idx val="0"/>
          <c:order val="0"/>
          <c:tx>
            <c:strRef>
              <c:f>'Pivot Tables2'!$K$4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3437-40E3-B09C-C867834A6E3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3437-40E3-B09C-C867834A6E37}"/>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3437-40E3-B09C-C867834A6E37}"/>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3437-40E3-B09C-C867834A6E37}"/>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3437-40E3-B09C-C867834A6E37}"/>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3437-40E3-B09C-C867834A6E37}"/>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3437-40E3-B09C-C867834A6E37}"/>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3437-40E3-B09C-C867834A6E37}"/>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3437-40E3-B09C-C867834A6E37}"/>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3437-40E3-B09C-C867834A6E37}"/>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3437-40E3-B09C-C867834A6E37}"/>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3437-40E3-B09C-C867834A6E37}"/>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3437-40E3-B09C-C867834A6E37}"/>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3437-40E3-B09C-C867834A6E37}"/>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3437-40E3-B09C-C867834A6E37}"/>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F-3437-40E3-B09C-C867834A6E37}"/>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21-3437-40E3-B09C-C867834A6E37}"/>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23-3437-40E3-B09C-C867834A6E37}"/>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25-3437-40E3-B09C-C867834A6E37}"/>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27-3437-40E3-B09C-C867834A6E37}"/>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29-3437-40E3-B09C-C867834A6E37}"/>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2B-3437-40E3-B09C-C867834A6E37}"/>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2D-3437-40E3-B09C-C867834A6E37}"/>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2F-3437-40E3-B09C-C867834A6E37}"/>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31-3437-40E3-B09C-C867834A6E37}"/>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33-3437-40E3-B09C-C867834A6E37}"/>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35-3437-40E3-B09C-C867834A6E37}"/>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37-3437-40E3-B09C-C867834A6E37}"/>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39-3437-40E3-B09C-C867834A6E37}"/>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3B-3437-40E3-B09C-C867834A6E37}"/>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3D-3437-40E3-B09C-C867834A6E37}"/>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3F-3437-40E3-B09C-C867834A6E37}"/>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41-3437-40E3-B09C-C867834A6E37}"/>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43-3437-40E3-B09C-C867834A6E37}"/>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45-3437-40E3-B09C-C867834A6E37}"/>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47-3437-40E3-B09C-C867834A6E37}"/>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49-3437-40E3-B09C-C867834A6E37}"/>
              </c:ext>
            </c:extLst>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04B-3437-40E3-B09C-C867834A6E37}"/>
              </c:ext>
            </c:extLst>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04D-3437-40E3-B09C-C867834A6E37}"/>
              </c:ext>
            </c:extLst>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04F-3437-40E3-B09C-C867834A6E37}"/>
              </c:ext>
            </c:extLst>
          </c:dPt>
          <c:dPt>
            <c:idx val="40"/>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051-3437-40E3-B09C-C867834A6E37}"/>
              </c:ext>
            </c:extLst>
          </c:dPt>
          <c:dPt>
            <c:idx val="41"/>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053-3437-40E3-B09C-C867834A6E37}"/>
              </c:ext>
            </c:extLst>
          </c:dPt>
          <c:dPt>
            <c:idx val="42"/>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055-3437-40E3-B09C-C867834A6E37}"/>
              </c:ext>
            </c:extLst>
          </c:dPt>
          <c:dPt>
            <c:idx val="43"/>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057-3437-40E3-B09C-C867834A6E37}"/>
              </c:ext>
            </c:extLst>
          </c:dPt>
          <c:dPt>
            <c:idx val="44"/>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059-3437-40E3-B09C-C867834A6E37}"/>
              </c:ext>
            </c:extLst>
          </c:dPt>
          <c:dPt>
            <c:idx val="45"/>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05B-3437-40E3-B09C-C867834A6E37}"/>
              </c:ext>
            </c:extLst>
          </c:dPt>
          <c:dPt>
            <c:idx val="46"/>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05D-3437-40E3-B09C-C867834A6E37}"/>
              </c:ext>
            </c:extLst>
          </c:dPt>
          <c:dPt>
            <c:idx val="47"/>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05F-3437-40E3-B09C-C867834A6E37}"/>
              </c:ext>
            </c:extLst>
          </c:dPt>
          <c:dPt>
            <c:idx val="48"/>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061-3437-40E3-B09C-C867834A6E37}"/>
              </c:ext>
            </c:extLst>
          </c:dPt>
          <c:dPt>
            <c:idx val="49"/>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063-3437-40E3-B09C-C867834A6E37}"/>
              </c:ext>
            </c:extLst>
          </c:dPt>
          <c:dPt>
            <c:idx val="50"/>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065-3437-40E3-B09C-C867834A6E37}"/>
              </c:ext>
            </c:extLst>
          </c:dPt>
          <c:dPt>
            <c:idx val="51"/>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067-3437-40E3-B09C-C867834A6E37}"/>
              </c:ext>
            </c:extLst>
          </c:dPt>
          <c:dPt>
            <c:idx val="52"/>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069-3437-40E3-B09C-C867834A6E37}"/>
              </c:ext>
            </c:extLst>
          </c:dPt>
          <c:dPt>
            <c:idx val="53"/>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06B-3437-40E3-B09C-C867834A6E37}"/>
              </c:ext>
            </c:extLst>
          </c:dPt>
          <c:dPt>
            <c:idx val="54"/>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6D-3437-40E3-B09C-C867834A6E37}"/>
              </c:ext>
            </c:extLst>
          </c:dPt>
          <c:dPt>
            <c:idx val="55"/>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6F-3437-40E3-B09C-C867834A6E37}"/>
              </c:ext>
            </c:extLst>
          </c:dPt>
          <c:dPt>
            <c:idx val="56"/>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71-3437-40E3-B09C-C867834A6E37}"/>
              </c:ext>
            </c:extLst>
          </c:dPt>
          <c:dPt>
            <c:idx val="57"/>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73-3437-40E3-B09C-C867834A6E37}"/>
              </c:ext>
            </c:extLst>
          </c:dPt>
          <c:dPt>
            <c:idx val="58"/>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75-3437-40E3-B09C-C867834A6E37}"/>
              </c:ext>
            </c:extLst>
          </c:dPt>
          <c:dPt>
            <c:idx val="59"/>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77-3437-40E3-B09C-C867834A6E37}"/>
              </c:ext>
            </c:extLst>
          </c:dPt>
          <c:dPt>
            <c:idx val="60"/>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79-3437-40E3-B09C-C867834A6E37}"/>
              </c:ext>
            </c:extLst>
          </c:dPt>
          <c:dPt>
            <c:idx val="61"/>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7B-3437-40E3-B09C-C867834A6E37}"/>
              </c:ext>
            </c:extLst>
          </c:dPt>
          <c:dPt>
            <c:idx val="62"/>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7D-3437-40E3-B09C-C867834A6E37}"/>
              </c:ext>
            </c:extLst>
          </c:dPt>
          <c:dPt>
            <c:idx val="63"/>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7F-3437-40E3-B09C-C867834A6E37}"/>
              </c:ext>
            </c:extLst>
          </c:dPt>
          <c:dPt>
            <c:idx val="6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81-3437-40E3-B09C-C867834A6E37}"/>
              </c:ext>
            </c:extLst>
          </c:dPt>
          <c:dPt>
            <c:idx val="65"/>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83-3437-40E3-B09C-C867834A6E37}"/>
              </c:ext>
            </c:extLst>
          </c:dPt>
          <c:dPt>
            <c:idx val="66"/>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85-3437-40E3-B09C-C867834A6E37}"/>
              </c:ext>
            </c:extLst>
          </c:dPt>
          <c:dPt>
            <c:idx val="67"/>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87-3437-40E3-B09C-C867834A6E37}"/>
              </c:ext>
            </c:extLst>
          </c:dPt>
          <c:dPt>
            <c:idx val="68"/>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89-3437-40E3-B09C-C867834A6E37}"/>
              </c:ext>
            </c:extLst>
          </c:dPt>
          <c:dPt>
            <c:idx val="69"/>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8B-3437-40E3-B09C-C867834A6E37}"/>
              </c:ext>
            </c:extLst>
          </c:dPt>
          <c:dPt>
            <c:idx val="70"/>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8D-3437-40E3-B09C-C867834A6E37}"/>
              </c:ext>
            </c:extLst>
          </c:dPt>
          <c:dPt>
            <c:idx val="71"/>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8F-3437-40E3-B09C-C867834A6E37}"/>
              </c:ext>
            </c:extLst>
          </c:dPt>
          <c:dPt>
            <c:idx val="72"/>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91-3437-40E3-B09C-C867834A6E37}"/>
              </c:ext>
            </c:extLst>
          </c:dPt>
          <c:dPt>
            <c:idx val="73"/>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93-3437-40E3-B09C-C867834A6E37}"/>
              </c:ext>
            </c:extLst>
          </c:dPt>
          <c:dPt>
            <c:idx val="74"/>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95-3437-40E3-B09C-C867834A6E37}"/>
              </c:ext>
            </c:extLst>
          </c:dPt>
          <c:dPt>
            <c:idx val="75"/>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97-3437-40E3-B09C-C867834A6E37}"/>
              </c:ext>
            </c:extLst>
          </c:dPt>
          <c:dPt>
            <c:idx val="76"/>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99-3437-40E3-B09C-C867834A6E37}"/>
              </c:ext>
            </c:extLst>
          </c:dPt>
          <c:dPt>
            <c:idx val="77"/>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9B-3437-40E3-B09C-C867834A6E37}"/>
              </c:ext>
            </c:extLst>
          </c:dPt>
          <c:dPt>
            <c:idx val="78"/>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9D-3437-40E3-B09C-C867834A6E37}"/>
              </c:ext>
            </c:extLst>
          </c:dPt>
          <c:dPt>
            <c:idx val="79"/>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9F-3437-40E3-B09C-C867834A6E37}"/>
              </c:ext>
            </c:extLst>
          </c:dPt>
          <c:dPt>
            <c:idx val="80"/>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A1-3437-40E3-B09C-C867834A6E37}"/>
              </c:ext>
            </c:extLst>
          </c:dPt>
          <c:dPt>
            <c:idx val="81"/>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A3-3437-40E3-B09C-C867834A6E37}"/>
              </c:ext>
            </c:extLst>
          </c:dPt>
          <c:dPt>
            <c:idx val="82"/>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A5-3437-40E3-B09C-C867834A6E37}"/>
              </c:ext>
            </c:extLst>
          </c:dPt>
          <c:dPt>
            <c:idx val="83"/>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A7-3437-40E3-B09C-C867834A6E37}"/>
              </c:ext>
            </c:extLst>
          </c:dPt>
          <c:dPt>
            <c:idx val="84"/>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A9-3437-40E3-B09C-C867834A6E37}"/>
              </c:ext>
            </c:extLst>
          </c:dPt>
          <c:dPt>
            <c:idx val="85"/>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AB-3437-40E3-B09C-C867834A6E37}"/>
              </c:ext>
            </c:extLst>
          </c:dPt>
          <c:dPt>
            <c:idx val="86"/>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AD-3437-40E3-B09C-C867834A6E37}"/>
              </c:ext>
            </c:extLst>
          </c:dPt>
          <c:dPt>
            <c:idx val="87"/>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AF-3437-40E3-B09C-C867834A6E37}"/>
              </c:ext>
            </c:extLst>
          </c:dPt>
          <c:dPt>
            <c:idx val="88"/>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B1-3437-40E3-B09C-C867834A6E37}"/>
              </c:ext>
            </c:extLst>
          </c:dPt>
          <c:dPt>
            <c:idx val="89"/>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B3-3437-40E3-B09C-C867834A6E37}"/>
              </c:ext>
            </c:extLst>
          </c:dPt>
          <c:dPt>
            <c:idx val="90"/>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B5-3437-40E3-B09C-C867834A6E37}"/>
              </c:ext>
            </c:extLst>
          </c:dPt>
          <c:dPt>
            <c:idx val="91"/>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0B7-3437-40E3-B09C-C867834A6E37}"/>
              </c:ext>
            </c:extLst>
          </c:dPt>
          <c:dPt>
            <c:idx val="92"/>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0B9-3437-40E3-B09C-C867834A6E37}"/>
              </c:ext>
            </c:extLst>
          </c:dPt>
          <c:dPt>
            <c:idx val="93"/>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0BB-3437-40E3-B09C-C867834A6E37}"/>
              </c:ext>
            </c:extLst>
          </c:dPt>
          <c:dPt>
            <c:idx val="94"/>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0BD-3437-40E3-B09C-C867834A6E37}"/>
              </c:ext>
            </c:extLst>
          </c:dPt>
          <c:dPt>
            <c:idx val="95"/>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0BF-3437-40E3-B09C-C867834A6E37}"/>
              </c:ext>
            </c:extLst>
          </c:dPt>
          <c:dPt>
            <c:idx val="96"/>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0C1-3437-40E3-B09C-C867834A6E37}"/>
              </c:ext>
            </c:extLst>
          </c:dPt>
          <c:dPt>
            <c:idx val="97"/>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0C3-3437-40E3-B09C-C867834A6E37}"/>
              </c:ext>
            </c:extLst>
          </c:dPt>
          <c:dPt>
            <c:idx val="98"/>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0C5-3437-40E3-B09C-C867834A6E37}"/>
              </c:ext>
            </c:extLst>
          </c:dPt>
          <c:dPt>
            <c:idx val="99"/>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0C7-3437-40E3-B09C-C867834A6E37}"/>
              </c:ext>
            </c:extLst>
          </c:dPt>
          <c:dPt>
            <c:idx val="100"/>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0C9-3437-40E3-B09C-C867834A6E37}"/>
              </c:ext>
            </c:extLst>
          </c:dPt>
          <c:dPt>
            <c:idx val="101"/>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0CB-3437-40E3-B09C-C867834A6E37}"/>
              </c:ext>
            </c:extLst>
          </c:dPt>
          <c:dPt>
            <c:idx val="102"/>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0CD-3437-40E3-B09C-C867834A6E37}"/>
              </c:ext>
            </c:extLst>
          </c:dPt>
          <c:dPt>
            <c:idx val="103"/>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0CF-3437-40E3-B09C-C867834A6E37}"/>
              </c:ext>
            </c:extLst>
          </c:dPt>
          <c:dPt>
            <c:idx val="104"/>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0D1-3437-40E3-B09C-C867834A6E37}"/>
              </c:ext>
            </c:extLst>
          </c:dPt>
          <c:dPt>
            <c:idx val="105"/>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0D3-3437-40E3-B09C-C867834A6E37}"/>
              </c:ext>
            </c:extLst>
          </c:dPt>
          <c:dPt>
            <c:idx val="106"/>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0D5-3437-40E3-B09C-C867834A6E37}"/>
              </c:ext>
            </c:extLst>
          </c:dPt>
          <c:dPt>
            <c:idx val="107"/>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0D7-3437-40E3-B09C-C867834A6E37}"/>
              </c:ext>
            </c:extLst>
          </c:dPt>
          <c:dPt>
            <c:idx val="108"/>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D9-3437-40E3-B09C-C867834A6E37}"/>
              </c:ext>
            </c:extLst>
          </c:dPt>
          <c:dPt>
            <c:idx val="109"/>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DB-3437-40E3-B09C-C867834A6E37}"/>
              </c:ext>
            </c:extLst>
          </c:dPt>
          <c:dPt>
            <c:idx val="110"/>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DD-3437-40E3-B09C-C867834A6E37}"/>
              </c:ext>
            </c:extLst>
          </c:dPt>
          <c:dPt>
            <c:idx val="11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DF-3437-40E3-B09C-C867834A6E37}"/>
              </c:ext>
            </c:extLst>
          </c:dPt>
          <c:dPt>
            <c:idx val="11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E1-3437-40E3-B09C-C867834A6E37}"/>
              </c:ext>
            </c:extLst>
          </c:dPt>
          <c:dPt>
            <c:idx val="113"/>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E3-3437-40E3-B09C-C867834A6E37}"/>
              </c:ext>
            </c:extLst>
          </c:dPt>
          <c:dPt>
            <c:idx val="114"/>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E5-3437-40E3-B09C-C867834A6E37}"/>
              </c:ext>
            </c:extLst>
          </c:dPt>
          <c:dPt>
            <c:idx val="115"/>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E7-3437-40E3-B09C-C867834A6E37}"/>
              </c:ext>
            </c:extLst>
          </c:dPt>
          <c:dPt>
            <c:idx val="116"/>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E9-3437-40E3-B09C-C867834A6E37}"/>
              </c:ext>
            </c:extLst>
          </c:dPt>
          <c:dPt>
            <c:idx val="117"/>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EB-3437-40E3-B09C-C867834A6E37}"/>
              </c:ext>
            </c:extLst>
          </c:dPt>
          <c:dPt>
            <c:idx val="118"/>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ED-3437-40E3-B09C-C867834A6E37}"/>
              </c:ext>
            </c:extLst>
          </c:dPt>
          <c:dPt>
            <c:idx val="119"/>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EF-3437-40E3-B09C-C867834A6E37}"/>
              </c:ext>
            </c:extLst>
          </c:dPt>
          <c:dPt>
            <c:idx val="120"/>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F1-3437-40E3-B09C-C867834A6E37}"/>
              </c:ext>
            </c:extLst>
          </c:dPt>
          <c:dPt>
            <c:idx val="121"/>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F3-3437-40E3-B09C-C867834A6E37}"/>
              </c:ext>
            </c:extLst>
          </c:dPt>
          <c:dPt>
            <c:idx val="122"/>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F5-3437-40E3-B09C-C867834A6E37}"/>
              </c:ext>
            </c:extLst>
          </c:dPt>
          <c:dPt>
            <c:idx val="123"/>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F7-3437-40E3-B09C-C867834A6E37}"/>
              </c:ext>
            </c:extLst>
          </c:dPt>
          <c:dPt>
            <c:idx val="124"/>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F9-3437-40E3-B09C-C867834A6E37}"/>
              </c:ext>
            </c:extLst>
          </c:dPt>
          <c:dPt>
            <c:idx val="125"/>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FB-3437-40E3-B09C-C867834A6E37}"/>
              </c:ext>
            </c:extLst>
          </c:dPt>
          <c:dPt>
            <c:idx val="126"/>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FD-3437-40E3-B09C-C867834A6E37}"/>
              </c:ext>
            </c:extLst>
          </c:dPt>
          <c:dPt>
            <c:idx val="127"/>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FF-3437-40E3-B09C-C867834A6E37}"/>
              </c:ext>
            </c:extLst>
          </c:dPt>
          <c:dPt>
            <c:idx val="128"/>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101-3437-40E3-B09C-C867834A6E37}"/>
              </c:ext>
            </c:extLst>
          </c:dPt>
          <c:dPt>
            <c:idx val="129"/>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103-3437-40E3-B09C-C867834A6E37}"/>
              </c:ext>
            </c:extLst>
          </c:dPt>
          <c:dPt>
            <c:idx val="130"/>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105-3437-40E3-B09C-C867834A6E37}"/>
              </c:ext>
            </c:extLst>
          </c:dPt>
          <c:dPt>
            <c:idx val="131"/>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107-3437-40E3-B09C-C867834A6E37}"/>
              </c:ext>
            </c:extLst>
          </c:dPt>
          <c:cat>
            <c:strRef>
              <c:f>'Pivot Tables2'!$J$5:$J$35</c:f>
              <c:strCache>
                <c:ptCount val="30"/>
                <c:pt idx="0">
                  <c:v>03-03-2025</c:v>
                </c:pt>
                <c:pt idx="1">
                  <c:v>03-05-2025</c:v>
                </c:pt>
                <c:pt idx="2">
                  <c:v>04-06-2025</c:v>
                </c:pt>
                <c:pt idx="3">
                  <c:v>05-08-2025</c:v>
                </c:pt>
                <c:pt idx="4">
                  <c:v>06-01-2025</c:v>
                </c:pt>
                <c:pt idx="5">
                  <c:v>06-02-2025</c:v>
                </c:pt>
                <c:pt idx="6">
                  <c:v>06-04-2025</c:v>
                </c:pt>
                <c:pt idx="7">
                  <c:v>06-05-2025</c:v>
                </c:pt>
                <c:pt idx="8">
                  <c:v>10-07-2025</c:v>
                </c:pt>
                <c:pt idx="9">
                  <c:v>11-05-2025</c:v>
                </c:pt>
                <c:pt idx="10">
                  <c:v>11-07-2025</c:v>
                </c:pt>
                <c:pt idx="11">
                  <c:v>13-01-2025</c:v>
                </c:pt>
                <c:pt idx="12">
                  <c:v>13-07-2025</c:v>
                </c:pt>
                <c:pt idx="13">
                  <c:v>14-08-2025</c:v>
                </c:pt>
                <c:pt idx="14">
                  <c:v>17-06-2025</c:v>
                </c:pt>
                <c:pt idx="15">
                  <c:v>18-09-2025</c:v>
                </c:pt>
                <c:pt idx="16">
                  <c:v>19-03-2025</c:v>
                </c:pt>
                <c:pt idx="17">
                  <c:v>21-02-2025</c:v>
                </c:pt>
                <c:pt idx="18">
                  <c:v>22-05-2025</c:v>
                </c:pt>
                <c:pt idx="19">
                  <c:v>23-03-2025</c:v>
                </c:pt>
                <c:pt idx="20">
                  <c:v>23-04-2025</c:v>
                </c:pt>
                <c:pt idx="21">
                  <c:v>23-05-2025</c:v>
                </c:pt>
                <c:pt idx="22">
                  <c:v>24-04-2025</c:v>
                </c:pt>
                <c:pt idx="23">
                  <c:v>25-04-2025</c:v>
                </c:pt>
                <c:pt idx="24">
                  <c:v>25-05-2025</c:v>
                </c:pt>
                <c:pt idx="25">
                  <c:v>28-01-2025</c:v>
                </c:pt>
                <c:pt idx="26">
                  <c:v>28-02-2025</c:v>
                </c:pt>
                <c:pt idx="27">
                  <c:v>28-05-2025</c:v>
                </c:pt>
                <c:pt idx="28">
                  <c:v>30-01-2025</c:v>
                </c:pt>
                <c:pt idx="29">
                  <c:v>31-01-2025</c:v>
                </c:pt>
              </c:strCache>
            </c:strRef>
          </c:cat>
          <c:val>
            <c:numRef>
              <c:f>'Pivot Tables2'!$K$5:$K$35</c:f>
              <c:numCache>
                <c:formatCode>General</c:formatCode>
                <c:ptCount val="30"/>
                <c:pt idx="0">
                  <c:v>55000</c:v>
                </c:pt>
                <c:pt idx="1">
                  <c:v>15000</c:v>
                </c:pt>
                <c:pt idx="2">
                  <c:v>25500</c:v>
                </c:pt>
                <c:pt idx="3">
                  <c:v>275000</c:v>
                </c:pt>
                <c:pt idx="4">
                  <c:v>5000</c:v>
                </c:pt>
                <c:pt idx="5">
                  <c:v>42500</c:v>
                </c:pt>
                <c:pt idx="6">
                  <c:v>10000</c:v>
                </c:pt>
                <c:pt idx="7">
                  <c:v>220000</c:v>
                </c:pt>
                <c:pt idx="8">
                  <c:v>25000</c:v>
                </c:pt>
                <c:pt idx="9">
                  <c:v>25000</c:v>
                </c:pt>
                <c:pt idx="10">
                  <c:v>20000</c:v>
                </c:pt>
                <c:pt idx="11">
                  <c:v>10000</c:v>
                </c:pt>
                <c:pt idx="12">
                  <c:v>110000</c:v>
                </c:pt>
                <c:pt idx="13">
                  <c:v>34000</c:v>
                </c:pt>
                <c:pt idx="14">
                  <c:v>165000</c:v>
                </c:pt>
                <c:pt idx="15">
                  <c:v>25500</c:v>
                </c:pt>
                <c:pt idx="16">
                  <c:v>55000</c:v>
                </c:pt>
                <c:pt idx="17">
                  <c:v>34000</c:v>
                </c:pt>
                <c:pt idx="18">
                  <c:v>110000</c:v>
                </c:pt>
                <c:pt idx="19">
                  <c:v>8500</c:v>
                </c:pt>
                <c:pt idx="20">
                  <c:v>10000</c:v>
                </c:pt>
                <c:pt idx="21">
                  <c:v>15000</c:v>
                </c:pt>
                <c:pt idx="22">
                  <c:v>110000</c:v>
                </c:pt>
                <c:pt idx="23">
                  <c:v>47500</c:v>
                </c:pt>
                <c:pt idx="24">
                  <c:v>34000</c:v>
                </c:pt>
                <c:pt idx="25">
                  <c:v>8500</c:v>
                </c:pt>
                <c:pt idx="26">
                  <c:v>25000</c:v>
                </c:pt>
                <c:pt idx="27">
                  <c:v>170000</c:v>
                </c:pt>
                <c:pt idx="28">
                  <c:v>55000</c:v>
                </c:pt>
                <c:pt idx="29">
                  <c:v>10000</c:v>
                </c:pt>
              </c:numCache>
            </c:numRef>
          </c:val>
          <c:extLst>
            <c:ext xmlns:c16="http://schemas.microsoft.com/office/drawing/2014/chart" uri="{C3380CC4-5D6E-409C-BE32-E72D297353CC}">
              <c16:uniqueId val="{00000108-3437-40E3-B09C-C867834A6E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https://teleread.org/2017/02/01/woot-sale-refurbished-fire-hd-6-tablets-for-30/" TargetMode="External"/><Relationship Id="rId18" Type="http://schemas.openxmlformats.org/officeDocument/2006/relationships/chart" Target="../charts/chart3.xml"/><Relationship Id="rId3" Type="http://schemas.openxmlformats.org/officeDocument/2006/relationships/hyperlink" Target="https://www.dreamstime.com/digital-currency-indian-rupee-symbol-golden-coin-vector-image266376366" TargetMode="External"/><Relationship Id="rId7" Type="http://schemas.openxmlformats.org/officeDocument/2006/relationships/hyperlink" Target="https://openclipart.org/detail/95431/star-by-artokem" TargetMode="External"/><Relationship Id="rId12" Type="http://schemas.openxmlformats.org/officeDocument/2006/relationships/image" Target="../media/image7.jpeg"/><Relationship Id="rId17" Type="http://schemas.openxmlformats.org/officeDocument/2006/relationships/chart" Target="../charts/chart2.xml"/><Relationship Id="rId2" Type="http://schemas.openxmlformats.org/officeDocument/2006/relationships/image" Target="../media/image2.jpeg"/><Relationship Id="rId16"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https://blog.elementary.io/now-shipping-elementary-os/" TargetMode="External"/><Relationship Id="rId5" Type="http://schemas.openxmlformats.org/officeDocument/2006/relationships/hyperlink" Target="https://www.dogsplayingpoker.org/gallery/coolidge/pinched_with_four_aces.html" TargetMode="External"/><Relationship Id="rId15" Type="http://schemas.openxmlformats.org/officeDocument/2006/relationships/hyperlink" Target="https://openclipart.org/detail/14830/my-tft-monitor-(widescreen)-by-urke" TargetMode="External"/><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hyperlink" Target="https://pixabay.com/de/iphone-smartphone-handy-apple-inc-297755/" TargetMode="Externa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8</xdr:col>
      <xdr:colOff>679411</xdr:colOff>
      <xdr:row>0</xdr:row>
      <xdr:rowOff>164895</xdr:rowOff>
    </xdr:from>
    <xdr:to>
      <xdr:col>9</xdr:col>
      <xdr:colOff>355155</xdr:colOff>
      <xdr:row>1</xdr:row>
      <xdr:rowOff>35193</xdr:rowOff>
    </xdr:to>
    <xdr:sp macro="" textlink="">
      <xdr:nvSpPr>
        <xdr:cNvPr id="5" name="Rectangle 4">
          <a:extLst>
            <a:ext uri="{FF2B5EF4-FFF2-40B4-BE49-F238E27FC236}">
              <a16:creationId xmlns:a16="http://schemas.microsoft.com/office/drawing/2014/main" id="{B09EF77F-4740-89A2-4EF2-2BC222654144}"/>
            </a:ext>
          </a:extLst>
        </xdr:cNvPr>
        <xdr:cNvSpPr/>
      </xdr:nvSpPr>
      <xdr:spPr>
        <a:xfrm rot="2597328">
          <a:off x="8056454" y="164895"/>
          <a:ext cx="596034" cy="289950"/>
        </a:xfrm>
        <a:prstGeom prst="rect">
          <a:avLst/>
        </a:prstGeom>
        <a:solidFill>
          <a:srgbClr val="8E41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205154</xdr:colOff>
      <xdr:row>0</xdr:row>
      <xdr:rowOff>212636</xdr:rowOff>
    </xdr:from>
    <xdr:to>
      <xdr:col>1</xdr:col>
      <xdr:colOff>288192</xdr:colOff>
      <xdr:row>1</xdr:row>
      <xdr:rowOff>27020</xdr:rowOff>
    </xdr:to>
    <xdr:sp macro="" textlink="">
      <xdr:nvSpPr>
        <xdr:cNvPr id="4" name="Rectangle 3">
          <a:extLst>
            <a:ext uri="{FF2B5EF4-FFF2-40B4-BE49-F238E27FC236}">
              <a16:creationId xmlns:a16="http://schemas.microsoft.com/office/drawing/2014/main" id="{FAB69F2C-5DBD-1E52-6147-483F227A3B57}"/>
            </a:ext>
          </a:extLst>
        </xdr:cNvPr>
        <xdr:cNvSpPr/>
      </xdr:nvSpPr>
      <xdr:spPr>
        <a:xfrm rot="19141018">
          <a:off x="205154" y="212636"/>
          <a:ext cx="500517" cy="231863"/>
        </a:xfrm>
        <a:prstGeom prst="rect">
          <a:avLst/>
        </a:prstGeom>
        <a:solidFill>
          <a:srgbClr val="4958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435</xdr:colOff>
      <xdr:row>0</xdr:row>
      <xdr:rowOff>9896</xdr:rowOff>
    </xdr:from>
    <xdr:to>
      <xdr:col>21</xdr:col>
      <xdr:colOff>577334</xdr:colOff>
      <xdr:row>201</xdr:row>
      <xdr:rowOff>255393</xdr:rowOff>
    </xdr:to>
    <xdr:sp macro="" textlink="">
      <xdr:nvSpPr>
        <xdr:cNvPr id="3" name="L-Shape 2">
          <a:extLst>
            <a:ext uri="{FF2B5EF4-FFF2-40B4-BE49-F238E27FC236}">
              <a16:creationId xmlns:a16="http://schemas.microsoft.com/office/drawing/2014/main" id="{F44AB72B-2895-3A54-E571-414B22DCEC60}"/>
            </a:ext>
          </a:extLst>
        </xdr:cNvPr>
        <xdr:cNvSpPr/>
      </xdr:nvSpPr>
      <xdr:spPr>
        <a:xfrm rot="16200000" flipH="1">
          <a:off x="-18824487" y="19250454"/>
          <a:ext cx="54298016" cy="15816899"/>
        </a:xfrm>
        <a:prstGeom prst="corner">
          <a:avLst>
            <a:gd name="adj1" fmla="val 49988"/>
            <a:gd name="adj2" fmla="val 2689"/>
          </a:avLst>
        </a:prstGeom>
        <a:gradFill>
          <a:gsLst>
            <a:gs pos="0">
              <a:srgbClr val="4958CE"/>
            </a:gs>
            <a:gs pos="100000">
              <a:srgbClr val="A13F9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40532</xdr:colOff>
      <xdr:row>0</xdr:row>
      <xdr:rowOff>409372</xdr:rowOff>
    </xdr:from>
    <xdr:to>
      <xdr:col>8</xdr:col>
      <xdr:colOff>920290</xdr:colOff>
      <xdr:row>1</xdr:row>
      <xdr:rowOff>426720</xdr:rowOff>
    </xdr:to>
    <xdr:sp macro="" textlink="">
      <xdr:nvSpPr>
        <xdr:cNvPr id="2" name="Rectangle: Top Corners Rounded 1">
          <a:extLst>
            <a:ext uri="{FF2B5EF4-FFF2-40B4-BE49-F238E27FC236}">
              <a16:creationId xmlns:a16="http://schemas.microsoft.com/office/drawing/2014/main" id="{5786B9C1-CE5D-7819-94C7-970E4C4A125B}"/>
            </a:ext>
          </a:extLst>
        </xdr:cNvPr>
        <xdr:cNvSpPr/>
      </xdr:nvSpPr>
      <xdr:spPr>
        <a:xfrm>
          <a:off x="456168" y="409372"/>
          <a:ext cx="7836719" cy="432984"/>
        </a:xfrm>
        <a:prstGeom prst="round2SameRect">
          <a:avLst/>
        </a:prstGeom>
        <a:noFill/>
        <a:ln w="76200">
          <a:solidFill>
            <a:srgbClr val="362F4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445213</xdr:colOff>
      <xdr:row>0</xdr:row>
      <xdr:rowOff>25685</xdr:rowOff>
    </xdr:from>
    <xdr:to>
      <xdr:col>9</xdr:col>
      <xdr:colOff>85617</xdr:colOff>
      <xdr:row>0</xdr:row>
      <xdr:rowOff>299663</xdr:rowOff>
    </xdr:to>
    <xdr:sp macro="" textlink="">
      <xdr:nvSpPr>
        <xdr:cNvPr id="6" name="TextBox 5">
          <a:hlinkClick xmlns:r="http://schemas.openxmlformats.org/officeDocument/2006/relationships" r:id="rId1" tooltip="Go To Dashboard"/>
          <a:extLst>
            <a:ext uri="{FF2B5EF4-FFF2-40B4-BE49-F238E27FC236}">
              <a16:creationId xmlns:a16="http://schemas.microsoft.com/office/drawing/2014/main" id="{111745F5-30A5-B95C-DC6E-F05E4A572980}"/>
            </a:ext>
          </a:extLst>
        </xdr:cNvPr>
        <xdr:cNvSpPr txBox="1"/>
      </xdr:nvSpPr>
      <xdr:spPr>
        <a:xfrm>
          <a:off x="7046359" y="25685"/>
          <a:ext cx="419528" cy="27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342900</xdr:colOff>
      <xdr:row>1</xdr:row>
      <xdr:rowOff>53340</xdr:rowOff>
    </xdr:from>
    <xdr:to>
      <xdr:col>2</xdr:col>
      <xdr:colOff>335280</xdr:colOff>
      <xdr:row>12</xdr:row>
      <xdr:rowOff>91440</xdr:rowOff>
    </xdr:to>
    <xdr:sp macro="" textlink="">
      <xdr:nvSpPr>
        <xdr:cNvPr id="2" name="Rectangle: Rounded Corners 1">
          <a:extLst>
            <a:ext uri="{FF2B5EF4-FFF2-40B4-BE49-F238E27FC236}">
              <a16:creationId xmlns:a16="http://schemas.microsoft.com/office/drawing/2014/main" id="{9A91F32A-12D9-8573-7787-C198CB6BAF1F}"/>
            </a:ext>
          </a:extLst>
        </xdr:cNvPr>
        <xdr:cNvSpPr/>
      </xdr:nvSpPr>
      <xdr:spPr>
        <a:xfrm>
          <a:off x="342900" y="236220"/>
          <a:ext cx="1211580" cy="2049780"/>
        </a:xfrm>
        <a:prstGeom prst="roundRect">
          <a:avLst>
            <a:gd name="adj" fmla="val 12494"/>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7</xdr:row>
      <xdr:rowOff>7620</xdr:rowOff>
    </xdr:from>
    <xdr:to>
      <xdr:col>2</xdr:col>
      <xdr:colOff>289560</xdr:colOff>
      <xdr:row>11</xdr:row>
      <xdr:rowOff>175260</xdr:rowOff>
    </xdr:to>
    <xdr:sp macro="" textlink="">
      <xdr:nvSpPr>
        <xdr:cNvPr id="3" name="TextBox 2">
          <a:extLst>
            <a:ext uri="{FF2B5EF4-FFF2-40B4-BE49-F238E27FC236}">
              <a16:creationId xmlns:a16="http://schemas.microsoft.com/office/drawing/2014/main" id="{656E9757-EB2F-ECD4-7C03-797317E4A100}"/>
            </a:ext>
          </a:extLst>
        </xdr:cNvPr>
        <xdr:cNvSpPr txBox="1"/>
      </xdr:nvSpPr>
      <xdr:spPr>
        <a:xfrm>
          <a:off x="381000" y="1287780"/>
          <a:ext cx="1127760" cy="899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ln>
                <a:noFill/>
              </a:ln>
              <a:solidFill>
                <a:srgbClr val="E74F65"/>
              </a:solidFill>
              <a:latin typeface="Abadi" panose="020B0604020104020204" pitchFamily="34" charset="0"/>
            </a:rPr>
            <a:t>LEVEL</a:t>
          </a:r>
          <a:r>
            <a:rPr lang="en-IN" sz="1400" baseline="0">
              <a:ln>
                <a:noFill/>
              </a:ln>
              <a:latin typeface="Abadi" panose="020B0604020104020204" pitchFamily="34" charset="0"/>
            </a:rPr>
            <a:t> </a:t>
          </a:r>
          <a:br>
            <a:rPr lang="en-IN" sz="1200" baseline="0">
              <a:ln>
                <a:noFill/>
              </a:ln>
              <a:latin typeface="Abadi" panose="020F0502020204030204" pitchFamily="34" charset="0"/>
            </a:rPr>
          </a:br>
          <a:r>
            <a:rPr lang="en-IN" sz="1100" baseline="0">
              <a:ln>
                <a:noFill/>
              </a:ln>
              <a:latin typeface="Abadi" panose="020F0502020204030204" pitchFamily="34" charset="0"/>
            </a:rPr>
            <a:t>Sale</a:t>
          </a:r>
          <a:r>
            <a:rPr lang="en-IN" sz="1200" baseline="0">
              <a:ln>
                <a:noFill/>
              </a:ln>
              <a:latin typeface="Abadi" panose="020F0502020204030204" pitchFamily="34" charset="0"/>
            </a:rPr>
            <a:t> </a:t>
          </a:r>
          <a:r>
            <a:rPr lang="en-IN" sz="1000" baseline="0">
              <a:ln>
                <a:noFill/>
              </a:ln>
              <a:latin typeface="Abadi" panose="020F0502020204030204" pitchFamily="34" charset="0"/>
            </a:rPr>
            <a:t>Perfomance</a:t>
          </a:r>
        </a:p>
        <a:p>
          <a:pPr algn="ctr"/>
          <a:r>
            <a:rPr lang="en-IN" sz="1000" baseline="0">
              <a:ln>
                <a:noFill/>
              </a:ln>
              <a:latin typeface="Abadi" panose="020F0502020204030204" pitchFamily="34" charset="0"/>
            </a:rPr>
            <a:t>Metrics </a:t>
          </a:r>
        </a:p>
        <a:p>
          <a:pPr algn="ctr"/>
          <a:r>
            <a:rPr lang="en-IN" sz="800" baseline="0">
              <a:ln>
                <a:noFill/>
              </a:ln>
              <a:solidFill>
                <a:schemeClr val="tx1">
                  <a:lumMod val="65000"/>
                  <a:lumOff val="35000"/>
                </a:schemeClr>
              </a:solidFill>
              <a:latin typeface="Abadi" panose="020B0604020104020204" pitchFamily="34" charset="0"/>
            </a:rPr>
            <a:t>2025</a:t>
          </a:r>
          <a:endParaRPr lang="en-IN" sz="1050">
            <a:ln>
              <a:noFill/>
            </a:ln>
            <a:solidFill>
              <a:schemeClr val="tx1">
                <a:lumMod val="65000"/>
                <a:lumOff val="35000"/>
              </a:schemeClr>
            </a:solidFill>
            <a:latin typeface="Abadi" panose="020B0604020104020204" pitchFamily="34" charset="0"/>
          </a:endParaRPr>
        </a:p>
      </xdr:txBody>
    </xdr:sp>
    <xdr:clientData/>
  </xdr:twoCellAnchor>
  <xdr:twoCellAnchor>
    <xdr:from>
      <xdr:col>2</xdr:col>
      <xdr:colOff>480461</xdr:colOff>
      <xdr:row>1</xdr:row>
      <xdr:rowOff>84622</xdr:rowOff>
    </xdr:from>
    <xdr:to>
      <xdr:col>6</xdr:col>
      <xdr:colOff>206141</xdr:colOff>
      <xdr:row>12</xdr:row>
      <xdr:rowOff>121342</xdr:rowOff>
    </xdr:to>
    <xdr:sp macro="" textlink="">
      <xdr:nvSpPr>
        <xdr:cNvPr id="4" name="Rectangle: Rounded Corners 3">
          <a:extLst>
            <a:ext uri="{FF2B5EF4-FFF2-40B4-BE49-F238E27FC236}">
              <a16:creationId xmlns:a16="http://schemas.microsoft.com/office/drawing/2014/main" id="{14BF7137-125B-4BD6-B44A-761B1403BB59}"/>
            </a:ext>
          </a:extLst>
        </xdr:cNvPr>
        <xdr:cNvSpPr/>
      </xdr:nvSpPr>
      <xdr:spPr>
        <a:xfrm>
          <a:off x="1699661" y="269106"/>
          <a:ext cx="2164080" cy="2066047"/>
        </a:xfrm>
        <a:prstGeom prst="roundRect">
          <a:avLst>
            <a:gd name="adj" fmla="val 12494"/>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panose="020B0604020202020204" pitchFamily="34" charset="0"/>
            <a:cs typeface="Arial" panose="020B0604020202020204" pitchFamily="34" charset="0"/>
          </a:endParaRPr>
        </a:p>
      </xdr:txBody>
    </xdr:sp>
    <xdr:clientData/>
  </xdr:twoCellAnchor>
  <xdr:twoCellAnchor editAs="oneCell">
    <xdr:from>
      <xdr:col>0</xdr:col>
      <xdr:colOff>335280</xdr:colOff>
      <xdr:row>2</xdr:row>
      <xdr:rowOff>0</xdr:rowOff>
    </xdr:from>
    <xdr:to>
      <xdr:col>2</xdr:col>
      <xdr:colOff>266700</xdr:colOff>
      <xdr:row>7</xdr:row>
      <xdr:rowOff>121920</xdr:rowOff>
    </xdr:to>
    <xdr:pic>
      <xdr:nvPicPr>
        <xdr:cNvPr id="8" name="Picture 7">
          <a:extLst>
            <a:ext uri="{FF2B5EF4-FFF2-40B4-BE49-F238E27FC236}">
              <a16:creationId xmlns:a16="http://schemas.microsoft.com/office/drawing/2014/main" id="{55C812B9-2E1C-DE2B-3209-0A3572334F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5280" y="365760"/>
          <a:ext cx="1150620" cy="1036320"/>
        </a:xfrm>
        <a:prstGeom prst="rect">
          <a:avLst/>
        </a:prstGeom>
      </xdr:spPr>
    </xdr:pic>
    <xdr:clientData/>
  </xdr:twoCellAnchor>
  <xdr:twoCellAnchor>
    <xdr:from>
      <xdr:col>3</xdr:col>
      <xdr:colOff>281940</xdr:colOff>
      <xdr:row>2</xdr:row>
      <xdr:rowOff>30480</xdr:rowOff>
    </xdr:from>
    <xdr:to>
      <xdr:col>6</xdr:col>
      <xdr:colOff>60960</xdr:colOff>
      <xdr:row>3</xdr:row>
      <xdr:rowOff>114300</xdr:rowOff>
    </xdr:to>
    <xdr:sp macro="" textlink="">
      <xdr:nvSpPr>
        <xdr:cNvPr id="10" name="TextBox 9">
          <a:extLst>
            <a:ext uri="{FF2B5EF4-FFF2-40B4-BE49-F238E27FC236}">
              <a16:creationId xmlns:a16="http://schemas.microsoft.com/office/drawing/2014/main" id="{8A92D9B8-CC60-438F-A26E-6B538D0E9F7C}"/>
            </a:ext>
          </a:extLst>
        </xdr:cNvPr>
        <xdr:cNvSpPr txBox="1"/>
      </xdr:nvSpPr>
      <xdr:spPr>
        <a:xfrm>
          <a:off x="2110740" y="396240"/>
          <a:ext cx="16078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ln>
                <a:noFill/>
              </a:ln>
              <a:solidFill>
                <a:schemeClr val="accent1">
                  <a:lumMod val="75000"/>
                </a:schemeClr>
              </a:solidFill>
              <a:latin typeface="Abadi" panose="020F0502020204030204" pitchFamily="34" charset="0"/>
            </a:rPr>
            <a:t>Total Revenue</a:t>
          </a:r>
        </a:p>
      </xdr:txBody>
    </xdr:sp>
    <xdr:clientData/>
  </xdr:twoCellAnchor>
  <xdr:twoCellAnchor>
    <xdr:from>
      <xdr:col>3</xdr:col>
      <xdr:colOff>133149</xdr:colOff>
      <xdr:row>4</xdr:row>
      <xdr:rowOff>5214</xdr:rowOff>
    </xdr:from>
    <xdr:to>
      <xdr:col>5</xdr:col>
      <xdr:colOff>506529</xdr:colOff>
      <xdr:row>5</xdr:row>
      <xdr:rowOff>89034</xdr:rowOff>
    </xdr:to>
    <xdr:sp macro="" textlink="'Pivot Tables'!B7">
      <xdr:nvSpPr>
        <xdr:cNvPr id="11" name="TextBox 10">
          <a:extLst>
            <a:ext uri="{FF2B5EF4-FFF2-40B4-BE49-F238E27FC236}">
              <a16:creationId xmlns:a16="http://schemas.microsoft.com/office/drawing/2014/main" id="{D2D51315-CC20-44F7-8A69-46F32E7CA2B4}"/>
            </a:ext>
          </a:extLst>
        </xdr:cNvPr>
        <xdr:cNvSpPr txBox="1"/>
      </xdr:nvSpPr>
      <xdr:spPr>
        <a:xfrm>
          <a:off x="1957938" y="740477"/>
          <a:ext cx="1589907" cy="26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A8EFC7F-7A51-43E2-8F51-1EB7BFAF7133}" type="TxLink">
            <a:rPr lang="en-US" sz="1400" b="0" i="0" u="none" strike="noStrike" baseline="0">
              <a:ln>
                <a:noFill/>
              </a:ln>
              <a:solidFill>
                <a:srgbClr val="000000"/>
              </a:solidFill>
              <a:latin typeface="Arial" panose="020B0604020202020204" pitchFamily="34" charset="0"/>
              <a:ea typeface="Calibri"/>
              <a:cs typeface="Arial" panose="020B0604020202020204" pitchFamily="34" charset="0"/>
            </a:rPr>
            <a:pPr algn="l"/>
            <a:t>₹ 53,59,700</a:t>
          </a:fld>
          <a:endParaRPr lang="en-IN" sz="1050" baseline="0">
            <a:ln>
              <a:noFill/>
            </a:ln>
            <a:solidFill>
              <a:srgbClr val="362F4B"/>
            </a:solidFill>
            <a:latin typeface="Arial" panose="020B0604020202020204" pitchFamily="34" charset="0"/>
            <a:cs typeface="Arial" panose="020B0604020202020204" pitchFamily="34" charset="0"/>
          </a:endParaRPr>
        </a:p>
      </xdr:txBody>
    </xdr:sp>
    <xdr:clientData/>
  </xdr:twoCellAnchor>
  <xdr:twoCellAnchor>
    <xdr:from>
      <xdr:col>3</xdr:col>
      <xdr:colOff>278064</xdr:colOff>
      <xdr:row>4</xdr:row>
      <xdr:rowOff>168843</xdr:rowOff>
    </xdr:from>
    <xdr:to>
      <xdr:col>5</xdr:col>
      <xdr:colOff>531395</xdr:colOff>
      <xdr:row>6</xdr:row>
      <xdr:rowOff>68847</xdr:rowOff>
    </xdr:to>
    <xdr:sp macro="" textlink="">
      <xdr:nvSpPr>
        <xdr:cNvPr id="13" name="TextBox 12">
          <a:extLst>
            <a:ext uri="{FF2B5EF4-FFF2-40B4-BE49-F238E27FC236}">
              <a16:creationId xmlns:a16="http://schemas.microsoft.com/office/drawing/2014/main" id="{F8F3F4DC-D4FA-4815-AE23-49A54883D1EB}"/>
            </a:ext>
          </a:extLst>
        </xdr:cNvPr>
        <xdr:cNvSpPr txBox="1"/>
      </xdr:nvSpPr>
      <xdr:spPr>
        <a:xfrm>
          <a:off x="2102853" y="904106"/>
          <a:ext cx="1469858" cy="26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baseline="0">
              <a:ln>
                <a:noFill/>
              </a:ln>
              <a:solidFill>
                <a:schemeClr val="bg2">
                  <a:lumMod val="50000"/>
                </a:schemeClr>
              </a:solidFill>
              <a:latin typeface="Arial" panose="020B0604020202020204" pitchFamily="34" charset="0"/>
              <a:cs typeface="Arial" panose="020B0604020202020204" pitchFamily="34" charset="0"/>
            </a:rPr>
            <a:t>Indian Rupee</a:t>
          </a:r>
        </a:p>
      </xdr:txBody>
    </xdr:sp>
    <xdr:clientData/>
  </xdr:twoCellAnchor>
  <xdr:twoCellAnchor>
    <xdr:from>
      <xdr:col>5</xdr:col>
      <xdr:colOff>86035</xdr:colOff>
      <xdr:row>4</xdr:row>
      <xdr:rowOff>71903</xdr:rowOff>
    </xdr:from>
    <xdr:to>
      <xdr:col>5</xdr:col>
      <xdr:colOff>176330</xdr:colOff>
      <xdr:row>4</xdr:row>
      <xdr:rowOff>157438</xdr:rowOff>
    </xdr:to>
    <xdr:sp macro="" textlink="">
      <xdr:nvSpPr>
        <xdr:cNvPr id="14" name="Isosceles Triangle 13">
          <a:extLst>
            <a:ext uri="{FF2B5EF4-FFF2-40B4-BE49-F238E27FC236}">
              <a16:creationId xmlns:a16="http://schemas.microsoft.com/office/drawing/2014/main" id="{17AC43AA-7C6C-6CB3-FB71-C8B00E077AC6}"/>
            </a:ext>
          </a:extLst>
        </xdr:cNvPr>
        <xdr:cNvSpPr/>
      </xdr:nvSpPr>
      <xdr:spPr>
        <a:xfrm>
          <a:off x="3140333" y="802415"/>
          <a:ext cx="90295" cy="85535"/>
        </a:xfrm>
        <a:prstGeom prst="triangle">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11929</xdr:colOff>
      <xdr:row>1</xdr:row>
      <xdr:rowOff>157438</xdr:rowOff>
    </xdr:from>
    <xdr:to>
      <xdr:col>3</xdr:col>
      <xdr:colOff>453421</xdr:colOff>
      <xdr:row>3</xdr:row>
      <xdr:rowOff>173473</xdr:rowOff>
    </xdr:to>
    <xdr:pic>
      <xdr:nvPicPr>
        <xdr:cNvPr id="20" name="Picture 19">
          <a:extLst>
            <a:ext uri="{FF2B5EF4-FFF2-40B4-BE49-F238E27FC236}">
              <a16:creationId xmlns:a16="http://schemas.microsoft.com/office/drawing/2014/main" id="{67B96935-3D2D-CE76-483C-07AD819789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844508" y="340066"/>
          <a:ext cx="441492" cy="381291"/>
        </a:xfrm>
        <a:prstGeom prst="rect">
          <a:avLst/>
        </a:prstGeom>
      </xdr:spPr>
    </xdr:pic>
    <xdr:clientData/>
  </xdr:twoCellAnchor>
  <xdr:twoCellAnchor>
    <xdr:from>
      <xdr:col>3</xdr:col>
      <xdr:colOff>69272</xdr:colOff>
      <xdr:row>7</xdr:row>
      <xdr:rowOff>31487</xdr:rowOff>
    </xdr:from>
    <xdr:to>
      <xdr:col>6</xdr:col>
      <xdr:colOff>0</xdr:colOff>
      <xdr:row>7</xdr:row>
      <xdr:rowOff>37785</xdr:rowOff>
    </xdr:to>
    <xdr:cxnSp macro="">
      <xdr:nvCxnSpPr>
        <xdr:cNvPr id="22" name="Straight Connector 21">
          <a:extLst>
            <a:ext uri="{FF2B5EF4-FFF2-40B4-BE49-F238E27FC236}">
              <a16:creationId xmlns:a16="http://schemas.microsoft.com/office/drawing/2014/main" id="{9E7BAC83-D2D3-8204-00F9-6A3DE7887F6C}"/>
            </a:ext>
          </a:extLst>
        </xdr:cNvPr>
        <xdr:cNvCxnSpPr/>
      </xdr:nvCxnSpPr>
      <xdr:spPr>
        <a:xfrm>
          <a:off x="1901851" y="1309884"/>
          <a:ext cx="1763306" cy="6298"/>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2</xdr:col>
      <xdr:colOff>514002</xdr:colOff>
      <xdr:row>7</xdr:row>
      <xdr:rowOff>87725</xdr:rowOff>
    </xdr:from>
    <xdr:to>
      <xdr:col>6</xdr:col>
      <xdr:colOff>75569</xdr:colOff>
      <xdr:row>8</xdr:row>
      <xdr:rowOff>171545</xdr:rowOff>
    </xdr:to>
    <xdr:sp macro="" textlink="">
      <xdr:nvSpPr>
        <xdr:cNvPr id="23" name="TextBox 22">
          <a:extLst>
            <a:ext uri="{FF2B5EF4-FFF2-40B4-BE49-F238E27FC236}">
              <a16:creationId xmlns:a16="http://schemas.microsoft.com/office/drawing/2014/main" id="{33F58D64-3B1C-4A79-B7FC-6C419C3067D4}"/>
            </a:ext>
          </a:extLst>
        </xdr:cNvPr>
        <xdr:cNvSpPr txBox="1"/>
      </xdr:nvSpPr>
      <xdr:spPr>
        <a:xfrm>
          <a:off x="1735721" y="1366122"/>
          <a:ext cx="2005005" cy="26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ln>
                <a:noFill/>
              </a:ln>
              <a:solidFill>
                <a:schemeClr val="accent1">
                  <a:lumMod val="75000"/>
                </a:schemeClr>
              </a:solidFill>
              <a:latin typeface="Abadi" panose="020F0502020204030204" pitchFamily="34" charset="0"/>
            </a:rPr>
            <a:t>Max Selling Product</a:t>
          </a:r>
        </a:p>
      </xdr:txBody>
    </xdr:sp>
    <xdr:clientData/>
  </xdr:twoCellAnchor>
  <xdr:twoCellAnchor>
    <xdr:from>
      <xdr:col>3</xdr:col>
      <xdr:colOff>132250</xdr:colOff>
      <xdr:row>9</xdr:row>
      <xdr:rowOff>88164</xdr:rowOff>
    </xdr:from>
    <xdr:to>
      <xdr:col>5</xdr:col>
      <xdr:colOff>170035</xdr:colOff>
      <xdr:row>10</xdr:row>
      <xdr:rowOff>157437</xdr:rowOff>
    </xdr:to>
    <xdr:sp macro="" textlink="'Pivot Tables'!E7">
      <xdr:nvSpPr>
        <xdr:cNvPr id="24" name="TextBox 23">
          <a:extLst>
            <a:ext uri="{FF2B5EF4-FFF2-40B4-BE49-F238E27FC236}">
              <a16:creationId xmlns:a16="http://schemas.microsoft.com/office/drawing/2014/main" id="{F9EA4EA4-8A39-4EE4-8138-8EF5897215EC}"/>
            </a:ext>
          </a:extLst>
        </xdr:cNvPr>
        <xdr:cNvSpPr txBox="1"/>
      </xdr:nvSpPr>
      <xdr:spPr>
        <a:xfrm>
          <a:off x="1964829" y="1731817"/>
          <a:ext cx="1259504" cy="251901"/>
        </a:xfrm>
        <a:prstGeom prst="rect">
          <a:avLst/>
        </a:prstGeom>
        <a:solidFill>
          <a:schemeClr val="accent1">
            <a:lumMod val="40000"/>
            <a:lumOff val="6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68A2079-1E81-4781-B5B5-CCFE3A5EE4DE}" type="TxLink">
            <a:rPr lang="en-US" sz="1400" b="0" i="0" u="none" strike="noStrike" baseline="0">
              <a:ln>
                <a:noFill/>
              </a:ln>
              <a:solidFill>
                <a:srgbClr val="362F4B"/>
              </a:solidFill>
              <a:effectLst>
                <a:outerShdw blurRad="50800" dist="38100" dir="18900000" algn="bl" rotWithShape="0">
                  <a:prstClr val="black">
                    <a:alpha val="40000"/>
                  </a:prstClr>
                </a:outerShdw>
              </a:effectLst>
              <a:latin typeface="Calibri"/>
              <a:ea typeface="Calibri"/>
              <a:cs typeface="Calibri"/>
            </a:rPr>
            <a:pPr algn="l"/>
            <a:t>SMARTPHONE</a:t>
          </a:fld>
          <a:endParaRPr lang="en-IN" sz="2000" baseline="0">
            <a:ln>
              <a:noFill/>
            </a:ln>
            <a:solidFill>
              <a:srgbClr val="362F4B"/>
            </a:solidFill>
            <a:effectLst>
              <a:outerShdw blurRad="50800" dist="38100" dir="18900000" algn="bl" rotWithShape="0">
                <a:prstClr val="black">
                  <a:alpha val="40000"/>
                </a:prstClr>
              </a:outerShdw>
            </a:effectLst>
            <a:latin typeface="Abadi" panose="020F0502020204030204" pitchFamily="34" charset="0"/>
          </a:endParaRPr>
        </a:p>
      </xdr:txBody>
    </xdr:sp>
    <xdr:clientData/>
  </xdr:twoCellAnchor>
  <xdr:twoCellAnchor editAs="oneCell">
    <xdr:from>
      <xdr:col>5</xdr:col>
      <xdr:colOff>305198</xdr:colOff>
      <xdr:row>9</xdr:row>
      <xdr:rowOff>62974</xdr:rowOff>
    </xdr:from>
    <xdr:to>
      <xdr:col>6</xdr:col>
      <xdr:colOff>38498</xdr:colOff>
      <xdr:row>11</xdr:row>
      <xdr:rowOff>40618</xdr:rowOff>
    </xdr:to>
    <xdr:pic>
      <xdr:nvPicPr>
        <xdr:cNvPr id="30" name="Picture 29">
          <a:extLst>
            <a:ext uri="{FF2B5EF4-FFF2-40B4-BE49-F238E27FC236}">
              <a16:creationId xmlns:a16="http://schemas.microsoft.com/office/drawing/2014/main" id="{E62CFF11-AA94-882A-240A-B1A9DAD2B62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3353198" y="1723332"/>
          <a:ext cx="342900" cy="346612"/>
        </a:xfrm>
        <a:prstGeom prst="rect">
          <a:avLst/>
        </a:prstGeom>
        <a:effectLst>
          <a:outerShdw blurRad="50800" dist="38100" dir="2700000" algn="tl" rotWithShape="0">
            <a:prstClr val="black">
              <a:alpha val="40000"/>
            </a:prstClr>
          </a:outerShdw>
        </a:effectLst>
      </xdr:spPr>
    </xdr:pic>
    <xdr:clientData/>
  </xdr:twoCellAnchor>
  <xdr:twoCellAnchor>
    <xdr:from>
      <xdr:col>6</xdr:col>
      <xdr:colOff>421933</xdr:colOff>
      <xdr:row>1</xdr:row>
      <xdr:rowOff>75571</xdr:rowOff>
    </xdr:from>
    <xdr:to>
      <xdr:col>10</xdr:col>
      <xdr:colOff>170033</xdr:colOff>
      <xdr:row>12</xdr:row>
      <xdr:rowOff>113671</xdr:rowOff>
    </xdr:to>
    <xdr:sp macro="" textlink="">
      <xdr:nvSpPr>
        <xdr:cNvPr id="5" name="Rectangle: Rounded Corners 4">
          <a:extLst>
            <a:ext uri="{FF2B5EF4-FFF2-40B4-BE49-F238E27FC236}">
              <a16:creationId xmlns:a16="http://schemas.microsoft.com/office/drawing/2014/main" id="{41CBAD4A-2E17-463A-9005-92EBA5F51FF7}"/>
            </a:ext>
          </a:extLst>
        </xdr:cNvPr>
        <xdr:cNvSpPr/>
      </xdr:nvSpPr>
      <xdr:spPr>
        <a:xfrm>
          <a:off x="4087090" y="258199"/>
          <a:ext cx="2191538" cy="2047009"/>
        </a:xfrm>
        <a:prstGeom prst="roundRect">
          <a:avLst>
            <a:gd name="adj" fmla="val 12494"/>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497503</xdr:colOff>
      <xdr:row>1</xdr:row>
      <xdr:rowOff>88166</xdr:rowOff>
    </xdr:from>
    <xdr:to>
      <xdr:col>9</xdr:col>
      <xdr:colOff>276522</xdr:colOff>
      <xdr:row>5</xdr:row>
      <xdr:rowOff>113356</xdr:rowOff>
    </xdr:to>
    <xdr:sp macro="" textlink="">
      <xdr:nvSpPr>
        <xdr:cNvPr id="6" name="TextBox 5">
          <a:extLst>
            <a:ext uri="{FF2B5EF4-FFF2-40B4-BE49-F238E27FC236}">
              <a16:creationId xmlns:a16="http://schemas.microsoft.com/office/drawing/2014/main" id="{F9C760ED-3ABE-4EF7-AE90-793E915B9288}"/>
            </a:ext>
          </a:extLst>
        </xdr:cNvPr>
        <xdr:cNvSpPr txBox="1"/>
      </xdr:nvSpPr>
      <xdr:spPr>
        <a:xfrm>
          <a:off x="4162660" y="270794"/>
          <a:ext cx="1611598" cy="75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aseline="0">
              <a:ln>
                <a:noFill/>
              </a:ln>
              <a:solidFill>
                <a:schemeClr val="tx1">
                  <a:lumMod val="65000"/>
                  <a:lumOff val="35000"/>
                </a:schemeClr>
              </a:solidFill>
              <a:latin typeface="Abadi" panose="020F0502020204030204" pitchFamily="34" charset="0"/>
            </a:rPr>
            <a:t>TOP 4</a:t>
          </a:r>
        </a:p>
        <a:p>
          <a:pPr algn="l"/>
          <a:r>
            <a:rPr lang="en-IN" sz="1400" baseline="0">
              <a:ln>
                <a:noFill/>
              </a:ln>
              <a:solidFill>
                <a:schemeClr val="tx1"/>
              </a:solidFill>
              <a:latin typeface="Abadi" panose="020F0502020204030204" pitchFamily="34" charset="0"/>
            </a:rPr>
            <a:t>Proucts</a:t>
          </a:r>
          <a:br>
            <a:rPr lang="en-IN" sz="1600" baseline="0">
              <a:ln>
                <a:noFill/>
              </a:ln>
              <a:solidFill>
                <a:schemeClr val="accent1">
                  <a:lumMod val="75000"/>
                </a:schemeClr>
              </a:solidFill>
              <a:latin typeface="Abadi" panose="020F0502020204030204" pitchFamily="34" charset="0"/>
            </a:rPr>
          </a:br>
          <a:r>
            <a:rPr lang="en-IN" sz="1050" baseline="0">
              <a:ln>
                <a:noFill/>
              </a:ln>
              <a:solidFill>
                <a:schemeClr val="tx1">
                  <a:lumMod val="65000"/>
                  <a:lumOff val="35000"/>
                </a:schemeClr>
              </a:solidFill>
              <a:latin typeface="Abadi" panose="020F0502020204030204" pitchFamily="34" charset="0"/>
            </a:rPr>
            <a:t>Sales Reference</a:t>
          </a:r>
        </a:p>
        <a:p>
          <a:pPr algn="l"/>
          <a:endParaRPr lang="en-IN" sz="1600" baseline="0">
            <a:ln>
              <a:noFill/>
            </a:ln>
            <a:solidFill>
              <a:schemeClr val="bg2">
                <a:lumMod val="75000"/>
              </a:schemeClr>
            </a:solidFill>
            <a:latin typeface="Abadi" panose="020F0502020204030204" pitchFamily="34" charset="0"/>
          </a:endParaRPr>
        </a:p>
      </xdr:txBody>
    </xdr:sp>
    <xdr:clientData/>
  </xdr:twoCellAnchor>
  <xdr:twoCellAnchor>
    <xdr:from>
      <xdr:col>6</xdr:col>
      <xdr:colOff>598265</xdr:colOff>
      <xdr:row>5</xdr:row>
      <xdr:rowOff>182628</xdr:rowOff>
    </xdr:from>
    <xdr:to>
      <xdr:col>8</xdr:col>
      <xdr:colOff>428232</xdr:colOff>
      <xdr:row>7</xdr:row>
      <xdr:rowOff>27142</xdr:rowOff>
    </xdr:to>
    <xdr:sp macro="" textlink="'Pivot Tables'!H7">
      <xdr:nvSpPr>
        <xdr:cNvPr id="7" name="TextBox 6">
          <a:extLst>
            <a:ext uri="{FF2B5EF4-FFF2-40B4-BE49-F238E27FC236}">
              <a16:creationId xmlns:a16="http://schemas.microsoft.com/office/drawing/2014/main" id="{C7662516-70DB-472B-AD79-6E1929C92928}"/>
            </a:ext>
          </a:extLst>
        </xdr:cNvPr>
        <xdr:cNvSpPr txBox="1"/>
      </xdr:nvSpPr>
      <xdr:spPr>
        <a:xfrm>
          <a:off x="4263422" y="1095768"/>
          <a:ext cx="1051686" cy="209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94A9E5F-EF1C-4EFA-949C-3ACACCB6701D}" type="TxLink">
            <a:rPr lang="en-US" sz="1100" b="0" i="0" u="none" strike="noStrike" baseline="0">
              <a:ln>
                <a:noFill/>
              </a:ln>
              <a:solidFill>
                <a:srgbClr val="000000"/>
              </a:solidFill>
              <a:effectLst>
                <a:outerShdw blurRad="50800" dist="38100" dir="2700000" algn="tl" rotWithShape="0">
                  <a:prstClr val="black">
                    <a:alpha val="40000"/>
                  </a:prstClr>
                </a:outerShdw>
              </a:effectLst>
              <a:latin typeface="Calibri"/>
              <a:ea typeface="Calibri"/>
              <a:cs typeface="Calibri"/>
            </a:rPr>
            <a:pPr algn="l"/>
            <a:t>SMARTPHONE</a:t>
          </a:fld>
          <a:endParaRPr lang="en-IN" sz="1600" baseline="0">
            <a:ln>
              <a:noFill/>
            </a:ln>
            <a:solidFill>
              <a:schemeClr val="accent1">
                <a:lumMod val="75000"/>
              </a:schemeClr>
            </a:solidFill>
            <a:effectLst>
              <a:outerShdw blurRad="50800" dist="38100" dir="2700000" algn="tl" rotWithShape="0">
                <a:prstClr val="black">
                  <a:alpha val="40000"/>
                </a:prstClr>
              </a:outerShdw>
            </a:effectLst>
            <a:latin typeface="Abadi" panose="020F0502020204030204" pitchFamily="34" charset="0"/>
          </a:endParaRPr>
        </a:p>
      </xdr:txBody>
    </xdr:sp>
    <xdr:clientData/>
  </xdr:twoCellAnchor>
  <xdr:twoCellAnchor>
    <xdr:from>
      <xdr:col>8</xdr:col>
      <xdr:colOff>340066</xdr:colOff>
      <xdr:row>10</xdr:row>
      <xdr:rowOff>151141</xdr:rowOff>
    </xdr:from>
    <xdr:to>
      <xdr:col>9</xdr:col>
      <xdr:colOff>503799</xdr:colOff>
      <xdr:row>11</xdr:row>
      <xdr:rowOff>178284</xdr:rowOff>
    </xdr:to>
    <xdr:sp macro="" textlink="'Pivot Tables'!H9">
      <xdr:nvSpPr>
        <xdr:cNvPr id="9" name="TextBox 8">
          <a:extLst>
            <a:ext uri="{FF2B5EF4-FFF2-40B4-BE49-F238E27FC236}">
              <a16:creationId xmlns:a16="http://schemas.microsoft.com/office/drawing/2014/main" id="{C05148A7-AA27-4D90-839D-A3304A20BFD4}"/>
            </a:ext>
          </a:extLst>
        </xdr:cNvPr>
        <xdr:cNvSpPr txBox="1"/>
      </xdr:nvSpPr>
      <xdr:spPr>
        <a:xfrm>
          <a:off x="5226942" y="1977422"/>
          <a:ext cx="774593" cy="209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4CAC94-A5E9-4278-80BD-F0E793A14EA7}" type="TxLink">
            <a:rPr lang="en-US" sz="1100" b="0" i="0" u="none" strike="noStrike" baseline="0">
              <a:ln>
                <a:noFill/>
              </a:ln>
              <a:solidFill>
                <a:schemeClr val="tx1"/>
              </a:solidFill>
              <a:effectLst>
                <a:outerShdw blurRad="50800" dist="38100" dir="2700000" algn="tl" rotWithShape="0">
                  <a:prstClr val="black">
                    <a:alpha val="40000"/>
                  </a:prstClr>
                </a:outerShdw>
              </a:effectLst>
              <a:latin typeface="Calibri"/>
              <a:ea typeface="Calibri"/>
              <a:cs typeface="Calibri"/>
            </a:rPr>
            <a:pPr algn="ctr"/>
            <a:t>TABLET</a:t>
          </a:fld>
          <a:endParaRPr lang="en-IN" sz="1600" baseline="0">
            <a:ln>
              <a:noFill/>
            </a:ln>
            <a:solidFill>
              <a:schemeClr val="tx1"/>
            </a:solidFill>
            <a:effectLst>
              <a:outerShdw blurRad="50800" dist="38100" dir="2700000" algn="tl" rotWithShape="0">
                <a:prstClr val="black">
                  <a:alpha val="40000"/>
                </a:prstClr>
              </a:outerShdw>
            </a:effectLst>
            <a:latin typeface="Abadi" panose="020F0502020204030204" pitchFamily="34" charset="0"/>
          </a:endParaRPr>
        </a:p>
      </xdr:txBody>
    </xdr:sp>
    <xdr:clientData/>
  </xdr:twoCellAnchor>
  <xdr:twoCellAnchor>
    <xdr:from>
      <xdr:col>7</xdr:col>
      <xdr:colOff>127207</xdr:colOff>
      <xdr:row>9</xdr:row>
      <xdr:rowOff>51640</xdr:rowOff>
    </xdr:from>
    <xdr:to>
      <xdr:col>8</xdr:col>
      <xdr:colOff>302280</xdr:colOff>
      <xdr:row>10</xdr:row>
      <xdr:rowOff>78783</xdr:rowOff>
    </xdr:to>
    <xdr:sp macro="" textlink="'Pivot Tables'!H10">
      <xdr:nvSpPr>
        <xdr:cNvPr id="12" name="TextBox 11">
          <a:extLst>
            <a:ext uri="{FF2B5EF4-FFF2-40B4-BE49-F238E27FC236}">
              <a16:creationId xmlns:a16="http://schemas.microsoft.com/office/drawing/2014/main" id="{47321E75-EF1B-4D68-85FF-65FA3CDFBBA2}"/>
            </a:ext>
          </a:extLst>
        </xdr:cNvPr>
        <xdr:cNvSpPr txBox="1"/>
      </xdr:nvSpPr>
      <xdr:spPr>
        <a:xfrm>
          <a:off x="4403224" y="1695293"/>
          <a:ext cx="785932" cy="209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0AEE66-46D7-4836-9EFE-1D615487707B}" type="TxLink">
            <a:rPr lang="en-US" sz="1100" b="0" i="0" u="none" strike="noStrike" baseline="0">
              <a:ln>
                <a:noFill/>
              </a:ln>
              <a:solidFill>
                <a:srgbClr val="000000"/>
              </a:solidFill>
              <a:effectLst>
                <a:outerShdw blurRad="50800" dist="38100" dir="2700000" algn="tl" rotWithShape="0">
                  <a:prstClr val="black">
                    <a:alpha val="40000"/>
                  </a:prstClr>
                </a:outerShdw>
              </a:effectLst>
              <a:latin typeface="Calibri"/>
              <a:ea typeface="Calibri"/>
              <a:cs typeface="Calibri"/>
            </a:rPr>
            <a:pPr algn="ctr"/>
            <a:t>MONITOR</a:t>
          </a:fld>
          <a:endParaRPr lang="en-IN" sz="1600" baseline="0">
            <a:ln>
              <a:noFill/>
            </a:ln>
            <a:solidFill>
              <a:schemeClr val="accent1">
                <a:lumMod val="75000"/>
              </a:schemeClr>
            </a:solidFill>
            <a:effectLst>
              <a:outerShdw blurRad="50800" dist="38100" dir="2700000" algn="tl" rotWithShape="0">
                <a:prstClr val="black">
                  <a:alpha val="40000"/>
                </a:prstClr>
              </a:outerShdw>
            </a:effectLst>
            <a:latin typeface="Abadi" panose="020F0502020204030204" pitchFamily="34" charset="0"/>
          </a:endParaRPr>
        </a:p>
      </xdr:txBody>
    </xdr:sp>
    <xdr:clientData/>
  </xdr:twoCellAnchor>
  <xdr:twoCellAnchor>
    <xdr:from>
      <xdr:col>8</xdr:col>
      <xdr:colOff>308579</xdr:colOff>
      <xdr:row>7</xdr:row>
      <xdr:rowOff>90685</xdr:rowOff>
    </xdr:from>
    <xdr:to>
      <xdr:col>9</xdr:col>
      <xdr:colOff>418153</xdr:colOff>
      <xdr:row>8</xdr:row>
      <xdr:rowOff>117828</xdr:rowOff>
    </xdr:to>
    <xdr:sp macro="" textlink="'Pivot Tables'!H8">
      <xdr:nvSpPr>
        <xdr:cNvPr id="15" name="TextBox 14">
          <a:extLst>
            <a:ext uri="{FF2B5EF4-FFF2-40B4-BE49-F238E27FC236}">
              <a16:creationId xmlns:a16="http://schemas.microsoft.com/office/drawing/2014/main" id="{33932A4B-81C1-477C-8C8D-650723983713}"/>
            </a:ext>
          </a:extLst>
        </xdr:cNvPr>
        <xdr:cNvSpPr txBox="1"/>
      </xdr:nvSpPr>
      <xdr:spPr>
        <a:xfrm>
          <a:off x="5195455" y="1369082"/>
          <a:ext cx="720434" cy="209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DF78EB5-8F59-4B35-8B78-1ADE7D18DC70}" type="TxLink">
            <a:rPr lang="en-US" sz="1100" b="0" i="0" u="none" strike="noStrike" baseline="0">
              <a:ln>
                <a:noFill/>
              </a:ln>
              <a:solidFill>
                <a:srgbClr val="000000"/>
              </a:solidFill>
              <a:effectLst>
                <a:outerShdw blurRad="50800" dist="38100" dir="2700000" algn="tl" rotWithShape="0">
                  <a:prstClr val="black">
                    <a:alpha val="40000"/>
                  </a:prstClr>
                </a:outerShdw>
              </a:effectLst>
              <a:latin typeface="Calibri"/>
              <a:ea typeface="Calibri"/>
              <a:cs typeface="Calibri"/>
            </a:rPr>
            <a:pPr algn="r"/>
            <a:t>LAPTOP</a:t>
          </a:fld>
          <a:endParaRPr lang="en-IN" sz="1600" baseline="0">
            <a:ln>
              <a:noFill/>
            </a:ln>
            <a:solidFill>
              <a:schemeClr val="accent1">
                <a:lumMod val="75000"/>
              </a:schemeClr>
            </a:solidFill>
            <a:effectLst>
              <a:outerShdw blurRad="50800" dist="38100" dir="2700000" algn="tl" rotWithShape="0">
                <a:prstClr val="black">
                  <a:alpha val="40000"/>
                </a:prstClr>
              </a:outerShdw>
            </a:effectLst>
            <a:latin typeface="Abadi" panose="020F0502020204030204" pitchFamily="34" charset="0"/>
          </a:endParaRPr>
        </a:p>
      </xdr:txBody>
    </xdr:sp>
    <xdr:clientData/>
  </xdr:twoCellAnchor>
  <xdr:twoCellAnchor editAs="oneCell">
    <xdr:from>
      <xdr:col>9</xdr:col>
      <xdr:colOff>403040</xdr:colOff>
      <xdr:row>1</xdr:row>
      <xdr:rowOff>173182</xdr:rowOff>
    </xdr:from>
    <xdr:to>
      <xdr:col>10</xdr:col>
      <xdr:colOff>31487</xdr:colOff>
      <xdr:row>2</xdr:row>
      <xdr:rowOff>170034</xdr:rowOff>
    </xdr:to>
    <xdr:pic>
      <xdr:nvPicPr>
        <xdr:cNvPr id="17" name="Picture 16">
          <a:extLst>
            <a:ext uri="{FF2B5EF4-FFF2-40B4-BE49-F238E27FC236}">
              <a16:creationId xmlns:a16="http://schemas.microsoft.com/office/drawing/2014/main" id="{2CFAA9C5-5D6B-5950-21FD-0BA433AEA62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5900776" y="355810"/>
          <a:ext cx="239306" cy="179480"/>
        </a:xfrm>
        <a:prstGeom prst="rect">
          <a:avLst/>
        </a:prstGeom>
        <a:effectLst>
          <a:outerShdw blurRad="50800" dist="38100" dir="2700000" algn="tl" rotWithShape="0">
            <a:prstClr val="black">
              <a:alpha val="40000"/>
            </a:prstClr>
          </a:outerShdw>
        </a:effectLst>
      </xdr:spPr>
    </xdr:pic>
    <xdr:clientData/>
  </xdr:twoCellAnchor>
  <xdr:twoCellAnchor editAs="oneCell">
    <xdr:from>
      <xdr:col>6</xdr:col>
      <xdr:colOff>535290</xdr:colOff>
      <xdr:row>5</xdr:row>
      <xdr:rowOff>165873</xdr:rowOff>
    </xdr:from>
    <xdr:to>
      <xdr:col>7</xdr:col>
      <xdr:colOff>59372</xdr:colOff>
      <xdr:row>7</xdr:row>
      <xdr:rowOff>50381</xdr:rowOff>
    </xdr:to>
    <xdr:pic>
      <xdr:nvPicPr>
        <xdr:cNvPr id="19" name="Picture 18">
          <a:extLst>
            <a:ext uri="{FF2B5EF4-FFF2-40B4-BE49-F238E27FC236}">
              <a16:creationId xmlns:a16="http://schemas.microsoft.com/office/drawing/2014/main" id="{6082E129-273E-8EAB-A546-3ABB9959F1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4200447" y="1079013"/>
          <a:ext cx="134942" cy="249765"/>
        </a:xfrm>
        <a:prstGeom prst="rect">
          <a:avLst/>
        </a:prstGeom>
      </xdr:spPr>
    </xdr:pic>
    <xdr:clientData/>
  </xdr:twoCellAnchor>
  <xdr:twoCellAnchor editAs="oneCell">
    <xdr:from>
      <xdr:col>9</xdr:col>
      <xdr:colOff>352660</xdr:colOff>
      <xdr:row>7</xdr:row>
      <xdr:rowOff>82897</xdr:rowOff>
    </xdr:from>
    <xdr:to>
      <xdr:col>10</xdr:col>
      <xdr:colOff>81867</xdr:colOff>
      <xdr:row>8</xdr:row>
      <xdr:rowOff>75571</xdr:rowOff>
    </xdr:to>
    <xdr:pic>
      <xdr:nvPicPr>
        <xdr:cNvPr id="25" name="Picture 24">
          <a:extLst>
            <a:ext uri="{FF2B5EF4-FFF2-40B4-BE49-F238E27FC236}">
              <a16:creationId xmlns:a16="http://schemas.microsoft.com/office/drawing/2014/main" id="{8E83EFE5-3950-CE97-BC08-FD30DF45AAC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5850396" y="1361294"/>
          <a:ext cx="340066" cy="175302"/>
        </a:xfrm>
        <a:prstGeom prst="rect">
          <a:avLst/>
        </a:prstGeom>
      </xdr:spPr>
    </xdr:pic>
    <xdr:clientData/>
  </xdr:twoCellAnchor>
  <xdr:twoCellAnchor editAs="oneCell">
    <xdr:from>
      <xdr:col>9</xdr:col>
      <xdr:colOff>369666</xdr:colOff>
      <xdr:row>10</xdr:row>
      <xdr:rowOff>67384</xdr:rowOff>
    </xdr:from>
    <xdr:to>
      <xdr:col>10</xdr:col>
      <xdr:colOff>56679</xdr:colOff>
      <xdr:row>12</xdr:row>
      <xdr:rowOff>0</xdr:rowOff>
    </xdr:to>
    <xdr:pic>
      <xdr:nvPicPr>
        <xdr:cNvPr id="28" name="Picture 27">
          <a:extLst>
            <a:ext uri="{FF2B5EF4-FFF2-40B4-BE49-F238E27FC236}">
              <a16:creationId xmlns:a16="http://schemas.microsoft.com/office/drawing/2014/main" id="{647A5FA3-4D37-D61C-5B2B-00DF397FE0F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837473B0-CC2E-450A-ABE3-18F120FF3D39}">
              <a1611:picAttrSrcUrl xmlns:a1611="http://schemas.microsoft.com/office/drawing/2016/11/main" r:id="rId13"/>
            </a:ext>
          </a:extLst>
        </a:blip>
        <a:stretch>
          <a:fillRect/>
        </a:stretch>
      </xdr:blipFill>
      <xdr:spPr>
        <a:xfrm>
          <a:off x="5867402" y="1893665"/>
          <a:ext cx="297872" cy="297872"/>
        </a:xfrm>
        <a:prstGeom prst="rect">
          <a:avLst/>
        </a:prstGeom>
      </xdr:spPr>
    </xdr:pic>
    <xdr:clientData/>
  </xdr:twoCellAnchor>
  <xdr:twoCellAnchor editAs="oneCell">
    <xdr:from>
      <xdr:col>6</xdr:col>
      <xdr:colOff>506256</xdr:colOff>
      <xdr:row>9</xdr:row>
      <xdr:rowOff>56677</xdr:rowOff>
    </xdr:from>
    <xdr:to>
      <xdr:col>7</xdr:col>
      <xdr:colOff>170033</xdr:colOff>
      <xdr:row>10</xdr:row>
      <xdr:rowOff>107834</xdr:rowOff>
    </xdr:to>
    <xdr:pic>
      <xdr:nvPicPr>
        <xdr:cNvPr id="32" name="Picture 31">
          <a:extLst>
            <a:ext uri="{FF2B5EF4-FFF2-40B4-BE49-F238E27FC236}">
              <a16:creationId xmlns:a16="http://schemas.microsoft.com/office/drawing/2014/main" id="{95EF4C27-D9AB-9212-3386-C66E65EA8A4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837473B0-CC2E-450A-ABE3-18F120FF3D39}">
              <a1611:picAttrSrcUrl xmlns:a1611="http://schemas.microsoft.com/office/drawing/2016/11/main" r:id="rId15"/>
            </a:ext>
          </a:extLst>
        </a:blip>
        <a:stretch>
          <a:fillRect/>
        </a:stretch>
      </xdr:blipFill>
      <xdr:spPr>
        <a:xfrm flipH="1">
          <a:off x="4171413" y="1700330"/>
          <a:ext cx="274637" cy="233785"/>
        </a:xfrm>
        <a:prstGeom prst="rect">
          <a:avLst/>
        </a:prstGeom>
      </xdr:spPr>
    </xdr:pic>
    <xdr:clientData/>
  </xdr:twoCellAnchor>
  <xdr:twoCellAnchor>
    <xdr:from>
      <xdr:col>8</xdr:col>
      <xdr:colOff>434528</xdr:colOff>
      <xdr:row>5</xdr:row>
      <xdr:rowOff>176331</xdr:rowOff>
    </xdr:from>
    <xdr:to>
      <xdr:col>10</xdr:col>
      <xdr:colOff>264495</xdr:colOff>
      <xdr:row>7</xdr:row>
      <xdr:rowOff>20845</xdr:rowOff>
    </xdr:to>
    <xdr:sp macro="" textlink="'Pivot Tables'!I7">
      <xdr:nvSpPr>
        <xdr:cNvPr id="33" name="TextBox 32">
          <a:extLst>
            <a:ext uri="{FF2B5EF4-FFF2-40B4-BE49-F238E27FC236}">
              <a16:creationId xmlns:a16="http://schemas.microsoft.com/office/drawing/2014/main" id="{486FAAD4-9D70-4762-906C-186E07287FE8}"/>
            </a:ext>
          </a:extLst>
        </xdr:cNvPr>
        <xdr:cNvSpPr txBox="1"/>
      </xdr:nvSpPr>
      <xdr:spPr>
        <a:xfrm>
          <a:off x="5321404" y="1089471"/>
          <a:ext cx="1051686" cy="209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93D18B8-6FAC-4CBF-9CC4-DE1E60FE7ADB}" type="TxLink">
            <a:rPr lang="en-US" sz="1100" b="0" i="0" u="none" strike="noStrike" cap="none" spc="0" baseline="0">
              <a:ln w="0"/>
              <a:solidFill>
                <a:schemeClr val="accent1"/>
              </a:solidFill>
              <a:effectLst>
                <a:outerShdw blurRad="38100" dist="25400" dir="5400000" algn="ctr" rotWithShape="0">
                  <a:srgbClr val="6E747A">
                    <a:alpha val="43000"/>
                  </a:srgbClr>
                </a:outerShdw>
              </a:effectLst>
              <a:latin typeface="Calibri"/>
              <a:ea typeface="Calibri"/>
              <a:cs typeface="Calibri"/>
            </a:rPr>
            <a:pPr algn="l"/>
            <a:t>₹ 14,70,000</a:t>
          </a:fld>
          <a:endParaRPr lang="en-IN" sz="1600" b="0" cap="none" spc="0" baseline="0">
            <a:ln w="0"/>
            <a:solidFill>
              <a:schemeClr val="accent1"/>
            </a:solidFill>
            <a:effectLst>
              <a:outerShdw blurRad="38100" dist="25400" dir="5400000" algn="ctr" rotWithShape="0">
                <a:srgbClr val="6E747A">
                  <a:alpha val="43000"/>
                </a:srgbClr>
              </a:outerShdw>
            </a:effectLst>
            <a:latin typeface="Abadi" panose="020F0502020204030204" pitchFamily="34" charset="0"/>
          </a:endParaRPr>
        </a:p>
      </xdr:txBody>
    </xdr:sp>
    <xdr:clientData/>
  </xdr:twoCellAnchor>
  <xdr:twoCellAnchor>
    <xdr:from>
      <xdr:col>7</xdr:col>
      <xdr:colOff>95721</xdr:colOff>
      <xdr:row>7</xdr:row>
      <xdr:rowOff>95722</xdr:rowOff>
    </xdr:from>
    <xdr:to>
      <xdr:col>8</xdr:col>
      <xdr:colOff>536548</xdr:colOff>
      <xdr:row>8</xdr:row>
      <xdr:rowOff>122865</xdr:rowOff>
    </xdr:to>
    <xdr:sp macro="" textlink="'Pivot Tables'!I8">
      <xdr:nvSpPr>
        <xdr:cNvPr id="34" name="TextBox 33">
          <a:extLst>
            <a:ext uri="{FF2B5EF4-FFF2-40B4-BE49-F238E27FC236}">
              <a16:creationId xmlns:a16="http://schemas.microsoft.com/office/drawing/2014/main" id="{41E5B0FB-D2B9-4819-8AF7-B5BA0C061F45}"/>
            </a:ext>
          </a:extLst>
        </xdr:cNvPr>
        <xdr:cNvSpPr txBox="1"/>
      </xdr:nvSpPr>
      <xdr:spPr>
        <a:xfrm>
          <a:off x="4371738" y="1374119"/>
          <a:ext cx="1051686" cy="209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DE4D8E0-229A-47EF-AED4-C70E4FA3674C}" type="TxLink">
            <a:rPr lang="en-US" sz="1100" b="0" i="0" u="none" strike="noStrike" baseline="0">
              <a:ln>
                <a:noFill/>
              </a:ln>
              <a:solidFill>
                <a:srgbClr val="00B0F0"/>
              </a:solidFill>
              <a:latin typeface="Calibri"/>
              <a:ea typeface="Calibri"/>
              <a:cs typeface="Calibri"/>
            </a:rPr>
            <a:pPr algn="l"/>
            <a:t>₹ 13,20,000</a:t>
          </a:fld>
          <a:endParaRPr lang="en-IN" sz="1600" baseline="0">
            <a:ln>
              <a:noFill/>
            </a:ln>
            <a:solidFill>
              <a:srgbClr val="00B0F0"/>
            </a:solidFill>
            <a:latin typeface="Abadi" panose="020F0502020204030204" pitchFamily="34" charset="0"/>
          </a:endParaRPr>
        </a:p>
      </xdr:txBody>
    </xdr:sp>
    <xdr:clientData/>
  </xdr:twoCellAnchor>
  <xdr:twoCellAnchor>
    <xdr:from>
      <xdr:col>8</xdr:col>
      <xdr:colOff>437049</xdr:colOff>
      <xdr:row>9</xdr:row>
      <xdr:rowOff>27710</xdr:rowOff>
    </xdr:from>
    <xdr:to>
      <xdr:col>10</xdr:col>
      <xdr:colOff>267016</xdr:colOff>
      <xdr:row>10</xdr:row>
      <xdr:rowOff>54853</xdr:rowOff>
    </xdr:to>
    <xdr:sp macro="" textlink="'Pivot Tables'!I10">
      <xdr:nvSpPr>
        <xdr:cNvPr id="35" name="TextBox 34">
          <a:extLst>
            <a:ext uri="{FF2B5EF4-FFF2-40B4-BE49-F238E27FC236}">
              <a16:creationId xmlns:a16="http://schemas.microsoft.com/office/drawing/2014/main" id="{EB736946-3504-412C-9078-7D1FB1A73754}"/>
            </a:ext>
          </a:extLst>
        </xdr:cNvPr>
        <xdr:cNvSpPr txBox="1"/>
      </xdr:nvSpPr>
      <xdr:spPr>
        <a:xfrm>
          <a:off x="5323925" y="1671363"/>
          <a:ext cx="1051686" cy="209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0C974F-857B-4D5E-9F00-BE22FD4E74A9}" type="TxLink">
            <a:rPr lang="en-US" sz="1100" b="0" i="0" u="none" strike="noStrike" baseline="0">
              <a:ln>
                <a:noFill/>
              </a:ln>
              <a:solidFill>
                <a:srgbClr val="002060"/>
              </a:solidFill>
              <a:latin typeface="Calibri"/>
              <a:ea typeface="Calibri"/>
              <a:cs typeface="Calibri"/>
            </a:rPr>
            <a:pPr algn="l"/>
            <a:t>₹ 6,12,000</a:t>
          </a:fld>
          <a:endParaRPr lang="en-IN" sz="1600" baseline="0">
            <a:ln>
              <a:noFill/>
            </a:ln>
            <a:solidFill>
              <a:srgbClr val="002060"/>
            </a:solidFill>
            <a:latin typeface="Abadi" panose="020F0502020204030204" pitchFamily="34" charset="0"/>
          </a:endParaRPr>
        </a:p>
      </xdr:txBody>
    </xdr:sp>
    <xdr:clientData/>
  </xdr:twoCellAnchor>
  <xdr:twoCellAnchor>
    <xdr:from>
      <xdr:col>7</xdr:col>
      <xdr:colOff>142323</xdr:colOff>
      <xdr:row>10</xdr:row>
      <xdr:rowOff>161215</xdr:rowOff>
    </xdr:from>
    <xdr:to>
      <xdr:col>8</xdr:col>
      <xdr:colOff>583150</xdr:colOff>
      <xdr:row>12</xdr:row>
      <xdr:rowOff>5730</xdr:rowOff>
    </xdr:to>
    <xdr:sp macro="" textlink="'Pivot Tables'!I9">
      <xdr:nvSpPr>
        <xdr:cNvPr id="36" name="TextBox 35">
          <a:extLst>
            <a:ext uri="{FF2B5EF4-FFF2-40B4-BE49-F238E27FC236}">
              <a16:creationId xmlns:a16="http://schemas.microsoft.com/office/drawing/2014/main" id="{B4EC14BE-20FE-471E-ACE1-5523261971DC}"/>
            </a:ext>
          </a:extLst>
        </xdr:cNvPr>
        <xdr:cNvSpPr txBox="1"/>
      </xdr:nvSpPr>
      <xdr:spPr>
        <a:xfrm>
          <a:off x="4418340" y="1987496"/>
          <a:ext cx="1051686" cy="209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79F9C1-E624-4074-9B07-94D8E3E97047}" type="TxLink">
            <a:rPr lang="en-US" sz="1100" b="0" i="0" u="none" strike="noStrike" baseline="0">
              <a:ln>
                <a:noFill/>
              </a:ln>
              <a:solidFill>
                <a:srgbClr val="7030A0"/>
              </a:solidFill>
              <a:latin typeface="Calibri"/>
              <a:ea typeface="Calibri"/>
              <a:cs typeface="Calibri"/>
            </a:rPr>
            <a:pPr algn="l"/>
            <a:t>₹ 8,80,000</a:t>
          </a:fld>
          <a:endParaRPr lang="en-IN" sz="1600" baseline="0">
            <a:ln>
              <a:noFill/>
            </a:ln>
            <a:solidFill>
              <a:srgbClr val="7030A0"/>
            </a:solidFill>
            <a:latin typeface="Abadi" panose="020F0502020204030204" pitchFamily="34" charset="0"/>
          </a:endParaRPr>
        </a:p>
      </xdr:txBody>
    </xdr:sp>
    <xdr:clientData/>
  </xdr:twoCellAnchor>
  <xdr:twoCellAnchor>
    <xdr:from>
      <xdr:col>8</xdr:col>
      <xdr:colOff>352661</xdr:colOff>
      <xdr:row>6</xdr:row>
      <xdr:rowOff>81867</xdr:rowOff>
    </xdr:from>
    <xdr:to>
      <xdr:col>8</xdr:col>
      <xdr:colOff>453422</xdr:colOff>
      <xdr:row>6</xdr:row>
      <xdr:rowOff>144843</xdr:rowOff>
    </xdr:to>
    <xdr:sp macro="" textlink="">
      <xdr:nvSpPr>
        <xdr:cNvPr id="37" name="Arrow: Notched Right 36">
          <a:extLst>
            <a:ext uri="{FF2B5EF4-FFF2-40B4-BE49-F238E27FC236}">
              <a16:creationId xmlns:a16="http://schemas.microsoft.com/office/drawing/2014/main" id="{3FF4989F-1D1B-6730-F974-C88C264885AA}"/>
            </a:ext>
          </a:extLst>
        </xdr:cNvPr>
        <xdr:cNvSpPr/>
      </xdr:nvSpPr>
      <xdr:spPr>
        <a:xfrm>
          <a:off x="5239537" y="1177636"/>
          <a:ext cx="100761" cy="62976"/>
        </a:xfrm>
        <a:prstGeom prst="notchedRightArrow">
          <a:avLst/>
        </a:prstGeom>
        <a:solidFill>
          <a:srgbClr val="E74F65"/>
        </a:solidFill>
        <a:ln>
          <a:solidFill>
            <a:srgbClr val="A365D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327471</xdr:colOff>
      <xdr:row>7</xdr:row>
      <xdr:rowOff>170029</xdr:rowOff>
    </xdr:from>
    <xdr:to>
      <xdr:col>8</xdr:col>
      <xdr:colOff>428231</xdr:colOff>
      <xdr:row>8</xdr:row>
      <xdr:rowOff>56676</xdr:rowOff>
    </xdr:to>
    <xdr:sp macro="" textlink="">
      <xdr:nvSpPr>
        <xdr:cNvPr id="38" name="Arrow: Notched Right 37">
          <a:extLst>
            <a:ext uri="{FF2B5EF4-FFF2-40B4-BE49-F238E27FC236}">
              <a16:creationId xmlns:a16="http://schemas.microsoft.com/office/drawing/2014/main" id="{7B3DB988-7C09-406E-9E49-ABDC6F5A43B5}"/>
            </a:ext>
          </a:extLst>
        </xdr:cNvPr>
        <xdr:cNvSpPr/>
      </xdr:nvSpPr>
      <xdr:spPr>
        <a:xfrm rot="10800000">
          <a:off x="5214347" y="1448426"/>
          <a:ext cx="100760" cy="69275"/>
        </a:xfrm>
        <a:prstGeom prst="notchedRightArrow">
          <a:avLst/>
        </a:prstGeom>
        <a:solidFill>
          <a:srgbClr val="7030A0"/>
        </a:solidFill>
        <a:ln>
          <a:solidFill>
            <a:srgbClr val="A13F9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340065</xdr:colOff>
      <xdr:row>9</xdr:row>
      <xdr:rowOff>120912</xdr:rowOff>
    </xdr:from>
    <xdr:to>
      <xdr:col>8</xdr:col>
      <xdr:colOff>435788</xdr:colOff>
      <xdr:row>10</xdr:row>
      <xdr:rowOff>0</xdr:rowOff>
    </xdr:to>
    <xdr:sp macro="" textlink="">
      <xdr:nvSpPr>
        <xdr:cNvPr id="39" name="Arrow: Notched Right 38">
          <a:extLst>
            <a:ext uri="{FF2B5EF4-FFF2-40B4-BE49-F238E27FC236}">
              <a16:creationId xmlns:a16="http://schemas.microsoft.com/office/drawing/2014/main" id="{74F6C9CD-0C5B-4A1C-BF19-509EABF5DF44}"/>
            </a:ext>
          </a:extLst>
        </xdr:cNvPr>
        <xdr:cNvSpPr/>
      </xdr:nvSpPr>
      <xdr:spPr>
        <a:xfrm>
          <a:off x="5226941" y="1764565"/>
          <a:ext cx="95723" cy="61716"/>
        </a:xfrm>
        <a:prstGeom prst="notchedRightArrow">
          <a:avLst/>
        </a:prstGeom>
        <a:solidFill>
          <a:srgbClr val="7030A0"/>
        </a:solidFill>
        <a:ln>
          <a:solidFill>
            <a:srgbClr val="A365D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321174</xdr:colOff>
      <xdr:row>11</xdr:row>
      <xdr:rowOff>34007</xdr:rowOff>
    </xdr:from>
    <xdr:to>
      <xdr:col>8</xdr:col>
      <xdr:colOff>418156</xdr:colOff>
      <xdr:row>11</xdr:row>
      <xdr:rowOff>107058</xdr:rowOff>
    </xdr:to>
    <xdr:sp macro="" textlink="">
      <xdr:nvSpPr>
        <xdr:cNvPr id="40" name="Arrow: Notched Right 39">
          <a:extLst>
            <a:ext uri="{FF2B5EF4-FFF2-40B4-BE49-F238E27FC236}">
              <a16:creationId xmlns:a16="http://schemas.microsoft.com/office/drawing/2014/main" id="{18D3C376-AC1E-40D1-8972-4076572DB1BB}"/>
            </a:ext>
          </a:extLst>
        </xdr:cNvPr>
        <xdr:cNvSpPr/>
      </xdr:nvSpPr>
      <xdr:spPr>
        <a:xfrm rot="10800000">
          <a:off x="5208050" y="2042916"/>
          <a:ext cx="96982" cy="73051"/>
        </a:xfrm>
        <a:prstGeom prst="notchedRightArrow">
          <a:avLst/>
        </a:prstGeom>
        <a:solidFill>
          <a:srgbClr val="E74F65"/>
        </a:solidFill>
        <a:ln>
          <a:solidFill>
            <a:srgbClr val="8E41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364386</xdr:colOff>
      <xdr:row>1</xdr:row>
      <xdr:rowOff>61017</xdr:rowOff>
    </xdr:from>
    <xdr:to>
      <xdr:col>21</xdr:col>
      <xdr:colOff>5780</xdr:colOff>
      <xdr:row>17</xdr:row>
      <xdr:rowOff>28203</xdr:rowOff>
    </xdr:to>
    <xdr:sp macro="" textlink="">
      <xdr:nvSpPr>
        <xdr:cNvPr id="42" name="Rectangle: Rounded Corners 41">
          <a:extLst>
            <a:ext uri="{FF2B5EF4-FFF2-40B4-BE49-F238E27FC236}">
              <a16:creationId xmlns:a16="http://schemas.microsoft.com/office/drawing/2014/main" id="{7D37FDEC-F9CD-4408-89EF-FD5F08E061FA}"/>
            </a:ext>
          </a:extLst>
        </xdr:cNvPr>
        <xdr:cNvSpPr/>
      </xdr:nvSpPr>
      <xdr:spPr>
        <a:xfrm>
          <a:off x="6442243" y="242446"/>
          <a:ext cx="6327037" cy="2870043"/>
        </a:xfrm>
        <a:prstGeom prst="roundRect">
          <a:avLst>
            <a:gd name="adj" fmla="val 12494"/>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panose="020B0604020202020204" pitchFamily="34" charset="0"/>
            <a:cs typeface="Arial" panose="020B0604020202020204" pitchFamily="34" charset="0"/>
          </a:endParaRPr>
        </a:p>
      </xdr:txBody>
    </xdr:sp>
    <xdr:clientData/>
  </xdr:twoCellAnchor>
  <xdr:twoCellAnchor>
    <xdr:from>
      <xdr:col>11</xdr:col>
      <xdr:colOff>131815</xdr:colOff>
      <xdr:row>3</xdr:row>
      <xdr:rowOff>176580</xdr:rowOff>
    </xdr:from>
    <xdr:to>
      <xdr:col>20</xdr:col>
      <xdr:colOff>434766</xdr:colOff>
      <xdr:row>16</xdr:row>
      <xdr:rowOff>62181</xdr:rowOff>
    </xdr:to>
    <xdr:graphicFrame macro="">
      <xdr:nvGraphicFramePr>
        <xdr:cNvPr id="43" name="Chart 42">
          <a:extLst>
            <a:ext uri="{FF2B5EF4-FFF2-40B4-BE49-F238E27FC236}">
              <a16:creationId xmlns:a16="http://schemas.microsoft.com/office/drawing/2014/main" id="{69234B3A-5501-4039-A821-C60371031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586054</xdr:colOff>
      <xdr:row>2</xdr:row>
      <xdr:rowOff>82594</xdr:rowOff>
    </xdr:from>
    <xdr:to>
      <xdr:col>16</xdr:col>
      <xdr:colOff>335643</xdr:colOff>
      <xdr:row>4</xdr:row>
      <xdr:rowOff>62443</xdr:rowOff>
    </xdr:to>
    <xdr:sp macro="" textlink="">
      <xdr:nvSpPr>
        <xdr:cNvPr id="47" name="TextBox 46">
          <a:extLst>
            <a:ext uri="{FF2B5EF4-FFF2-40B4-BE49-F238E27FC236}">
              <a16:creationId xmlns:a16="http://schemas.microsoft.com/office/drawing/2014/main" id="{1ADA09AA-29DC-9157-6192-C682CABCB1A1}"/>
            </a:ext>
          </a:extLst>
        </xdr:cNvPr>
        <xdr:cNvSpPr txBox="1"/>
      </xdr:nvSpPr>
      <xdr:spPr>
        <a:xfrm>
          <a:off x="6663911" y="445451"/>
          <a:ext cx="3396303" cy="342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kern="1200" cap="all" spc="150" baseline="0">
              <a:solidFill>
                <a:sysClr val="windowText" lastClr="000000">
                  <a:lumMod val="50000"/>
                  <a:lumOff val="50000"/>
                </a:sysClr>
              </a:solidFill>
              <a:latin typeface="+mn-lt"/>
              <a:ea typeface="+mn-ea"/>
              <a:cs typeface="+mn-cs"/>
            </a:rPr>
            <a:t>Total</a:t>
          </a:r>
          <a:r>
            <a:rPr lang="en-IN" sz="1200">
              <a:latin typeface="Arial" panose="020B0604020202020204" pitchFamily="34" charset="0"/>
              <a:cs typeface="Arial" panose="020B0604020202020204" pitchFamily="34" charset="0"/>
            </a:rPr>
            <a:t> </a:t>
          </a:r>
          <a:r>
            <a:rPr lang="en-IN" sz="1800" b="1" i="0" u="none" strike="noStrike" kern="1200" cap="all" spc="150" baseline="0">
              <a:solidFill>
                <a:sysClr val="windowText" lastClr="000000">
                  <a:lumMod val="50000"/>
                  <a:lumOff val="50000"/>
                </a:sysClr>
              </a:solidFill>
              <a:latin typeface="+mn-lt"/>
              <a:ea typeface="+mn-ea"/>
              <a:cs typeface="+mn-cs"/>
            </a:rPr>
            <a:t>Revenue</a:t>
          </a:r>
          <a:r>
            <a:rPr lang="en-IN" sz="1200">
              <a:latin typeface="Arial" panose="020B0604020202020204" pitchFamily="34" charset="0"/>
              <a:cs typeface="Arial" panose="020B0604020202020204" pitchFamily="34" charset="0"/>
            </a:rPr>
            <a:t> </a:t>
          </a:r>
          <a:r>
            <a:rPr lang="en-IN" sz="1800" b="1" i="0" u="none" strike="noStrike" kern="1200" cap="all" spc="150" baseline="0">
              <a:solidFill>
                <a:sysClr val="windowText" lastClr="000000">
                  <a:lumMod val="50000"/>
                  <a:lumOff val="50000"/>
                </a:sysClr>
              </a:solidFill>
              <a:latin typeface="+mn-lt"/>
              <a:ea typeface="+mn-ea"/>
              <a:cs typeface="+mn-cs"/>
            </a:rPr>
            <a:t>of</a:t>
          </a:r>
          <a:r>
            <a:rPr lang="en-IN" sz="1200" baseline="0">
              <a:latin typeface="Arial" panose="020B0604020202020204" pitchFamily="34" charset="0"/>
              <a:cs typeface="Arial" panose="020B0604020202020204" pitchFamily="34" charset="0"/>
            </a:rPr>
            <a:t> </a:t>
          </a:r>
          <a:r>
            <a:rPr lang="en-IN" sz="1800" b="1" i="0" u="none" strike="noStrike" kern="1200" cap="all" spc="150" baseline="0">
              <a:solidFill>
                <a:sysClr val="windowText" lastClr="000000">
                  <a:lumMod val="50000"/>
                  <a:lumOff val="50000"/>
                </a:sysClr>
              </a:solidFill>
              <a:latin typeface="+mn-lt"/>
              <a:ea typeface="+mn-ea"/>
              <a:cs typeface="+mn-cs"/>
            </a:rPr>
            <a:t>Months</a:t>
          </a:r>
        </a:p>
      </xdr:txBody>
    </xdr:sp>
    <xdr:clientData/>
  </xdr:twoCellAnchor>
  <xdr:twoCellAnchor>
    <xdr:from>
      <xdr:col>0</xdr:col>
      <xdr:colOff>283220</xdr:colOff>
      <xdr:row>14</xdr:row>
      <xdr:rowOff>148353</xdr:rowOff>
    </xdr:from>
    <xdr:to>
      <xdr:col>10</xdr:col>
      <xdr:colOff>188812</xdr:colOff>
      <xdr:row>39</xdr:row>
      <xdr:rowOff>33716</xdr:rowOff>
    </xdr:to>
    <xdr:sp macro="" textlink="">
      <xdr:nvSpPr>
        <xdr:cNvPr id="16" name="Rectangle: Rounded Corners 15">
          <a:extLst>
            <a:ext uri="{FF2B5EF4-FFF2-40B4-BE49-F238E27FC236}">
              <a16:creationId xmlns:a16="http://schemas.microsoft.com/office/drawing/2014/main" id="{F3E7BBD1-5D75-42F0-A85D-ADBD3DEB9C26}"/>
            </a:ext>
          </a:extLst>
        </xdr:cNvPr>
        <xdr:cNvSpPr/>
      </xdr:nvSpPr>
      <xdr:spPr>
        <a:xfrm>
          <a:off x="283220" y="2697344"/>
          <a:ext cx="5974619" cy="4437133"/>
        </a:xfrm>
        <a:prstGeom prst="roundRect">
          <a:avLst>
            <a:gd name="adj" fmla="val 12494"/>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512496</xdr:colOff>
      <xdr:row>15</xdr:row>
      <xdr:rowOff>114637</xdr:rowOff>
    </xdr:from>
    <xdr:to>
      <xdr:col>4</xdr:col>
      <xdr:colOff>60690</xdr:colOff>
      <xdr:row>17</xdr:row>
      <xdr:rowOff>16385</xdr:rowOff>
    </xdr:to>
    <xdr:sp macro="" textlink="">
      <xdr:nvSpPr>
        <xdr:cNvPr id="18" name="TextBox 17">
          <a:extLst>
            <a:ext uri="{FF2B5EF4-FFF2-40B4-BE49-F238E27FC236}">
              <a16:creationId xmlns:a16="http://schemas.microsoft.com/office/drawing/2014/main" id="{2B663ABF-BAD3-44D4-AE89-46FEFB6990E5}"/>
            </a:ext>
          </a:extLst>
        </xdr:cNvPr>
        <xdr:cNvSpPr txBox="1"/>
      </xdr:nvSpPr>
      <xdr:spPr>
        <a:xfrm>
          <a:off x="512496" y="2845699"/>
          <a:ext cx="1975805" cy="26589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i="0">
              <a:solidFill>
                <a:schemeClr val="tx1">
                  <a:lumMod val="65000"/>
                  <a:lumOff val="35000"/>
                </a:schemeClr>
              </a:solidFill>
              <a:effectLst/>
              <a:latin typeface="Arial" panose="020B0604020202020204" pitchFamily="34" charset="0"/>
              <a:ea typeface="+mn-ea"/>
              <a:cs typeface="Arial" panose="020B0604020202020204" pitchFamily="34" charset="0"/>
            </a:rPr>
            <a:t>Sales Trends Over Time</a:t>
          </a:r>
          <a:endParaRPr lang="en-IN" sz="1600" baseline="0">
            <a:ln>
              <a:noFill/>
            </a:ln>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xdr:from>
      <xdr:col>0</xdr:col>
      <xdr:colOff>364140</xdr:colOff>
      <xdr:row>17</xdr:row>
      <xdr:rowOff>101150</xdr:rowOff>
    </xdr:from>
    <xdr:to>
      <xdr:col>10</xdr:col>
      <xdr:colOff>13487</xdr:colOff>
      <xdr:row>37</xdr:row>
      <xdr:rowOff>74177</xdr:rowOff>
    </xdr:to>
    <xdr:graphicFrame macro="">
      <xdr:nvGraphicFramePr>
        <xdr:cNvPr id="31" name="Chart 30">
          <a:extLst>
            <a:ext uri="{FF2B5EF4-FFF2-40B4-BE49-F238E27FC236}">
              <a16:creationId xmlns:a16="http://schemas.microsoft.com/office/drawing/2014/main" id="{57697821-562C-49FE-B836-66CB98BEB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465292</xdr:colOff>
      <xdr:row>17</xdr:row>
      <xdr:rowOff>128123</xdr:rowOff>
    </xdr:from>
    <xdr:to>
      <xdr:col>2</xdr:col>
      <xdr:colOff>532726</xdr:colOff>
      <xdr:row>19</xdr:row>
      <xdr:rowOff>74177</xdr:rowOff>
    </xdr:to>
    <xdr:sp macro="" textlink="">
      <xdr:nvSpPr>
        <xdr:cNvPr id="41" name="Rectangle: Single Corner Rounded 40">
          <a:extLst>
            <a:ext uri="{FF2B5EF4-FFF2-40B4-BE49-F238E27FC236}">
              <a16:creationId xmlns:a16="http://schemas.microsoft.com/office/drawing/2014/main" id="{C15B9E25-2827-A8BD-FF06-E81FFE97B7DA}"/>
            </a:ext>
          </a:extLst>
        </xdr:cNvPr>
        <xdr:cNvSpPr/>
      </xdr:nvSpPr>
      <xdr:spPr>
        <a:xfrm>
          <a:off x="465292" y="3223327"/>
          <a:ext cx="1281239" cy="310195"/>
        </a:xfrm>
        <a:prstGeom prst="round1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365279</xdr:colOff>
      <xdr:row>17</xdr:row>
      <xdr:rowOff>108113</xdr:rowOff>
    </xdr:from>
    <xdr:to>
      <xdr:col>20</xdr:col>
      <xdr:colOff>276645</xdr:colOff>
      <xdr:row>41</xdr:row>
      <xdr:rowOff>174905</xdr:rowOff>
    </xdr:to>
    <xdr:sp macro="" textlink="">
      <xdr:nvSpPr>
        <xdr:cNvPr id="44" name="Rectangle: Rounded Corners 43">
          <a:extLst>
            <a:ext uri="{FF2B5EF4-FFF2-40B4-BE49-F238E27FC236}">
              <a16:creationId xmlns:a16="http://schemas.microsoft.com/office/drawing/2014/main" id="{5884AADA-CB69-4B29-A29B-E0D21B0048A7}"/>
            </a:ext>
          </a:extLst>
        </xdr:cNvPr>
        <xdr:cNvSpPr/>
      </xdr:nvSpPr>
      <xdr:spPr>
        <a:xfrm>
          <a:off x="6443136" y="3192399"/>
          <a:ext cx="5989223" cy="4421077"/>
        </a:xfrm>
        <a:custGeom>
          <a:avLst/>
          <a:gdLst>
            <a:gd name="connsiteX0" fmla="*/ 0 w 6019314"/>
            <a:gd name="connsiteY0" fmla="*/ 1322884 h 4537107"/>
            <a:gd name="connsiteX1" fmla="*/ 1322884 w 6019314"/>
            <a:gd name="connsiteY1" fmla="*/ 0 h 4537107"/>
            <a:gd name="connsiteX2" fmla="*/ 4696430 w 6019314"/>
            <a:gd name="connsiteY2" fmla="*/ 0 h 4537107"/>
            <a:gd name="connsiteX3" fmla="*/ 6019314 w 6019314"/>
            <a:gd name="connsiteY3" fmla="*/ 1322884 h 4537107"/>
            <a:gd name="connsiteX4" fmla="*/ 6019314 w 6019314"/>
            <a:gd name="connsiteY4" fmla="*/ 3214223 h 4537107"/>
            <a:gd name="connsiteX5" fmla="*/ 4696430 w 6019314"/>
            <a:gd name="connsiteY5" fmla="*/ 4537107 h 4537107"/>
            <a:gd name="connsiteX6" fmla="*/ 1322884 w 6019314"/>
            <a:gd name="connsiteY6" fmla="*/ 4537107 h 4537107"/>
            <a:gd name="connsiteX7" fmla="*/ 0 w 6019314"/>
            <a:gd name="connsiteY7" fmla="*/ 3214223 h 4537107"/>
            <a:gd name="connsiteX8" fmla="*/ 0 w 6019314"/>
            <a:gd name="connsiteY8" fmla="*/ 1322884 h 4537107"/>
            <a:gd name="connsiteX0" fmla="*/ 0 w 6019314"/>
            <a:gd name="connsiteY0" fmla="*/ 1322884 h 4537107"/>
            <a:gd name="connsiteX1" fmla="*/ 1322884 w 6019314"/>
            <a:gd name="connsiteY1" fmla="*/ 44302 h 4537107"/>
            <a:gd name="connsiteX2" fmla="*/ 4696430 w 6019314"/>
            <a:gd name="connsiteY2" fmla="*/ 0 h 4537107"/>
            <a:gd name="connsiteX3" fmla="*/ 6019314 w 6019314"/>
            <a:gd name="connsiteY3" fmla="*/ 1322884 h 4537107"/>
            <a:gd name="connsiteX4" fmla="*/ 6019314 w 6019314"/>
            <a:gd name="connsiteY4" fmla="*/ 3214223 h 4537107"/>
            <a:gd name="connsiteX5" fmla="*/ 4696430 w 6019314"/>
            <a:gd name="connsiteY5" fmla="*/ 4537107 h 4537107"/>
            <a:gd name="connsiteX6" fmla="*/ 1322884 w 6019314"/>
            <a:gd name="connsiteY6" fmla="*/ 4537107 h 4537107"/>
            <a:gd name="connsiteX7" fmla="*/ 0 w 6019314"/>
            <a:gd name="connsiteY7" fmla="*/ 3214223 h 4537107"/>
            <a:gd name="connsiteX8" fmla="*/ 0 w 6019314"/>
            <a:gd name="connsiteY8" fmla="*/ 1322884 h 45371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019314" h="4537107">
              <a:moveTo>
                <a:pt x="0" y="1322884"/>
              </a:moveTo>
              <a:cubicBezTo>
                <a:pt x="0" y="592275"/>
                <a:pt x="592275" y="44302"/>
                <a:pt x="1322884" y="44302"/>
              </a:cubicBezTo>
              <a:cubicBezTo>
                <a:pt x="2447399" y="44302"/>
                <a:pt x="3571915" y="0"/>
                <a:pt x="4696430" y="0"/>
              </a:cubicBezTo>
              <a:cubicBezTo>
                <a:pt x="5427039" y="0"/>
                <a:pt x="6019314" y="592275"/>
                <a:pt x="6019314" y="1322884"/>
              </a:cubicBezTo>
              <a:lnTo>
                <a:pt x="6019314" y="3214223"/>
              </a:lnTo>
              <a:cubicBezTo>
                <a:pt x="6019314" y="3944832"/>
                <a:pt x="5427039" y="4537107"/>
                <a:pt x="4696430" y="4537107"/>
              </a:cubicBezTo>
              <a:lnTo>
                <a:pt x="1322884" y="4537107"/>
              </a:lnTo>
              <a:cubicBezTo>
                <a:pt x="592275" y="4537107"/>
                <a:pt x="0" y="3944832"/>
                <a:pt x="0" y="3214223"/>
              </a:cubicBezTo>
              <a:lnTo>
                <a:pt x="0" y="1322884"/>
              </a:lnTo>
              <a:close/>
            </a:path>
          </a:pathLst>
        </a:cu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11</xdr:col>
      <xdr:colOff>437661</xdr:colOff>
      <xdr:row>18</xdr:row>
      <xdr:rowOff>163136</xdr:rowOff>
    </xdr:from>
    <xdr:to>
      <xdr:col>19</xdr:col>
      <xdr:colOff>158384</xdr:colOff>
      <xdr:row>36</xdr:row>
      <xdr:rowOff>63700</xdr:rowOff>
    </xdr:to>
    <xdr:graphicFrame macro="">
      <xdr:nvGraphicFramePr>
        <xdr:cNvPr id="48" name="Chart 47">
          <a:extLst>
            <a:ext uri="{FF2B5EF4-FFF2-40B4-BE49-F238E27FC236}">
              <a16:creationId xmlns:a16="http://schemas.microsoft.com/office/drawing/2014/main" id="{8E595B5A-AF4B-4AED-BBA3-E9E8617F6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447799</xdr:colOff>
      <xdr:row>40</xdr:row>
      <xdr:rowOff>67590</xdr:rowOff>
    </xdr:from>
    <xdr:to>
      <xdr:col>5</xdr:col>
      <xdr:colOff>395845</xdr:colOff>
      <xdr:row>50</xdr:row>
      <xdr:rowOff>79168</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5523CA9B-FB6F-5D8B-3B47-DE221C5EE24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47799" y="7271954"/>
              <a:ext cx="2996046" cy="1812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refreshedDate="45958.957035185187" createdVersion="8" refreshedVersion="8" minRefreshableVersion="3" recordCount="200" xr:uid="{79AD9DFD-5A98-44DA-8E4F-265E0A40EF9A}">
  <cacheSource type="worksheet">
    <worksheetSource ref="B2:I202" sheet="Database"/>
  </cacheSource>
  <cacheFields count="7">
    <cacheField name="Date" numFmtId="0">
      <sharedItems count="132">
        <s v="18-07-2025"/>
        <s v="28-05-2025"/>
        <s v="11-07-2025"/>
        <s v="23-01-2025"/>
        <s v="18-09-2025"/>
        <s v="03-06-2025"/>
        <s v="22-07-2025"/>
        <s v="06-04-2025"/>
        <s v="13-07-2025"/>
        <s v="04-06-2025"/>
        <s v="19-03-2025"/>
        <s v="21-02-2025"/>
        <s v="16-08-2025"/>
        <s v="18-02-2025"/>
        <s v="04-07-2025"/>
        <s v="26-05-2025"/>
        <s v="06-08-2025"/>
        <s v="30-03-2025"/>
        <s v="31-08-2025"/>
        <s v="03-09-2025"/>
        <s v="16-01-2025"/>
        <s v="16-05-2025"/>
        <s v="15-03-2025"/>
        <s v="22-09-2025"/>
        <s v="24-03-2025"/>
        <s v="26-04-2025"/>
        <s v="18-03-2025"/>
        <s v="14-07-2025"/>
        <s v="13-01-2025"/>
        <s v="08-07-2025"/>
        <s v="28-06-2025"/>
        <s v="11-08-2025"/>
        <s v="17-07-2025"/>
        <s v="02-06-2025"/>
        <s v="03-04-2025"/>
        <s v="14-09-2025"/>
        <s v="10-03-2025"/>
        <s v="21-01-2025"/>
        <s v="02-03-2025"/>
        <s v="25-04-2025"/>
        <s v="15-08-2025"/>
        <s v="01-09-2025"/>
        <s v="22-06-2025"/>
        <s v="22-08-2025"/>
        <s v="18-01-2025"/>
        <s v="15-09-2025"/>
        <s v="21-04-2025"/>
        <s v="19-05-2025"/>
        <s v="17-09-2025"/>
        <s v="08-02-2025"/>
        <s v="03-05-2025"/>
        <s v="27-03-2025"/>
        <s v="11-02-2025"/>
        <s v="09-02-2025"/>
        <s v="28-08-2025"/>
        <s v="30-01-2025"/>
        <s v="07-03-2025"/>
        <s v="21-08-2025"/>
        <s v="21-05-2025"/>
        <s v="06-07-2025"/>
        <s v="17-06-2025"/>
        <s v="05-08-2025"/>
        <s v="31-05-2025"/>
        <s v="16-03-2025"/>
        <s v="23-04-2025"/>
        <s v="06-02-2025"/>
        <s v="10-08-2025"/>
        <s v="31-01-2025"/>
        <s v="09-08-2025"/>
        <s v="25-02-2025"/>
        <s v="12-05-2025"/>
        <s v="23-03-2025"/>
        <s v="23-08-2025"/>
        <s v="23-05-2025"/>
        <s v="06-05-2025"/>
        <s v="26-01-2025"/>
        <s v="04-08-2025"/>
        <s v="18-04-2025"/>
        <s v="22-02-2025"/>
        <s v="14-08-2025"/>
        <s v="11-05-2025"/>
        <s v="07-02-2025"/>
        <s v="25-05-2025"/>
        <s v="03-02-2025"/>
        <s v="16-07-2025"/>
        <s v="15-02-2025"/>
        <s v="31-03-2025"/>
        <s v="20-08-2025"/>
        <s v="14-02-2025"/>
        <s v="27-09-2025"/>
        <s v="28-01-2025"/>
        <s v="14-01-2025"/>
        <s v="01-06-2025"/>
        <s v="26-09-2025"/>
        <s v="06-03-2025"/>
        <s v="10-07-2025"/>
        <s v="10-04-2025"/>
        <s v="31-07-2025"/>
        <s v="01-01-2025"/>
        <s v="07-07-2025"/>
        <s v="01-08-2025"/>
        <s v="08-09-2025"/>
        <s v="16-06-2025"/>
        <s v="21-03-2025"/>
        <s v="21-09-2025"/>
        <s v="20-02-2025"/>
        <s v="30-05-2025"/>
        <s v="04-02-2025"/>
        <s v="28-02-2025"/>
        <s v="05-05-2025"/>
        <s v="28-09-2025"/>
        <s v="20-07-2025"/>
        <s v="18-06-2025"/>
        <s v="09-06-2025"/>
        <s v="24-06-2025"/>
        <s v="29-05-2025"/>
        <s v="14-06-2025"/>
        <s v="02-04-2025"/>
        <s v="24-04-2025"/>
        <s v="27-07-2025"/>
        <s v="06-01-2025"/>
        <s v="22-05-2025"/>
        <s v="13-08-2025"/>
        <s v="02-07-2025"/>
        <s v="17-01-2025"/>
        <s v="21-06-2025"/>
        <s v="25-09-2025"/>
        <s v="03-03-2025"/>
        <s v="26-08-2025"/>
        <s v="23-07-2025"/>
        <s v="27-04-2025"/>
        <s v="13-06-2025"/>
      </sharedItems>
    </cacheField>
    <cacheField name="Product" numFmtId="0">
      <sharedItems count="15">
        <s v="MONITOR"/>
        <s v="EXTERNAL HARD DRIVE"/>
        <s v="KEYBOARD"/>
        <s v="NETWORK ROUTER"/>
        <s v="SOFTWARE LICENSES"/>
        <s v="USB DRIVE"/>
        <s v="PRINTER"/>
        <s v="LAPTOP"/>
        <s v="SMARTPHONE"/>
        <s v="MOUSE"/>
        <s v="SPEAKERS"/>
        <s v="TABLET"/>
        <s v="CHARGER"/>
        <s v="HEADPHONES"/>
        <s v="WEB CAMERA"/>
      </sharedItems>
    </cacheField>
    <cacheField name="Quantity" numFmtId="0">
      <sharedItems containsSemiMixedTypes="0" containsString="0" containsNumber="1" containsInteger="1" minValue="1" maxValue="5" count="5">
        <n v="4"/>
        <n v="1"/>
        <n v="5"/>
        <n v="3"/>
        <n v="2"/>
      </sharedItems>
    </cacheField>
    <cacheField name="Price" numFmtId="0">
      <sharedItems containsSemiMixedTypes="0" containsString="0" containsNumber="1" containsInteger="1" minValue="600" maxValue="55000"/>
    </cacheField>
    <cacheField name="Total Revenue" numFmtId="0">
      <sharedItems containsSemiMixedTypes="0" containsString="0" containsNumber="1" containsInteger="1" minValue="600" maxValue="275000" count="53">
        <n v="48000"/>
        <n v="5000"/>
        <n v="800"/>
        <n v="12500"/>
        <n v="14000"/>
        <n v="3500"/>
        <n v="25500"/>
        <n v="10000"/>
        <n v="110000"/>
        <n v="55000"/>
        <n v="60000"/>
        <n v="24000"/>
        <n v="1200"/>
        <n v="600"/>
        <n v="12000"/>
        <n v="1400"/>
        <n v="150000"/>
        <n v="2800"/>
        <n v="6600"/>
        <n v="40000"/>
        <n v="2000"/>
        <n v="2500"/>
        <n v="4000"/>
        <n v="7000"/>
        <n v="100000"/>
        <n v="10500"/>
        <n v="700"/>
        <n v="1000"/>
        <n v="120000"/>
        <n v="7500"/>
        <n v="1600"/>
        <n v="3000"/>
        <n v="15000"/>
        <n v="275000"/>
        <n v="42500"/>
        <n v="1800"/>
        <n v="2200"/>
        <n v="8500"/>
        <n v="6000"/>
        <n v="80000"/>
        <n v="20000"/>
        <n v="36000"/>
        <n v="220000"/>
        <n v="34000"/>
        <n v="2400"/>
        <n v="8800"/>
        <n v="4400"/>
        <n v="25000"/>
        <n v="90000"/>
        <n v="11000"/>
        <n v="2100"/>
        <n v="165000"/>
        <n v="17500"/>
      </sharedItems>
    </cacheField>
    <cacheField name="Average Order Value" numFmtId="0">
      <sharedItems containsSemiMixedTypes="0" containsString="0" containsNumber="1" containsInteger="1" minValue="600" maxValue="55000"/>
    </cacheField>
    <cacheField name="Total Sales" numFmtId="0">
      <sharedItems containsSemiMixedTypes="0" containsString="0" containsNumber="1" containsInteger="1" minValue="1" maxValue="5" count="5">
        <n v="4"/>
        <n v="1"/>
        <n v="5"/>
        <n v="3"/>
        <n v="2"/>
      </sharedItems>
    </cacheField>
  </cacheFields>
  <extLst>
    <ext xmlns:x14="http://schemas.microsoft.com/office/spreadsheetml/2009/9/main" uri="{725AE2AE-9491-48be-B2B4-4EB974FC3084}">
      <x14:pivotCacheDefinition pivotCacheId="12308894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959.963817013886" backgroundQuery="1" createdVersion="8" refreshedVersion="8" minRefreshableVersion="3" recordCount="0" supportSubquery="1" supportAdvancedDrill="1" xr:uid="{A74106A1-BD2C-45FC-AB1C-3F00395790CF}">
  <cacheSource type="external" connectionId="1"/>
  <cacheFields count="3">
    <cacheField name="[Range].[Month].[Month]" caption="Month" numFmtId="0" hierarchy="1" level="1">
      <sharedItems count="9">
        <s v="April"/>
        <s v="August"/>
        <s v="February"/>
        <s v="January"/>
        <s v="July"/>
        <s v="June"/>
        <s v="March"/>
        <s v="May"/>
        <s v="September"/>
      </sharedItems>
    </cacheField>
    <cacheField name="[Measures].[Sum of Total Revenue]" caption="Sum of Total Revenue" numFmtId="0" hierarchy="10" level="32767"/>
    <cacheField name="Unsupported0" numFmtId="0" hierarchy="11" level="32767">
      <extLst>
        <ext xmlns:x14="http://schemas.microsoft.com/office/spreadsheetml/2009/9/main" uri="{63CAB8AC-B538-458d-9737-405883B0398D}">
          <x14:cacheField ignore="1"/>
        </ext>
      </extLst>
    </cacheField>
  </cacheFields>
  <cacheHierarchies count="12">
    <cacheHierarchy uniqueName="[Range].[Date]" caption="Date" attribute="1" defaultMemberUniqueName="[Range].[Date].[All]" allUniqueName="[Range].[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Total Revenue]" caption="Total Revenue" attribute="1" defaultMemberUniqueName="[Range].[Total Revenue].[All]" allUniqueName="[Range].[Total Revenue].[All]" dimensionUniqueName="[Range]" displayFolder="" count="0" memberValueDatatype="20" unbalanced="0"/>
    <cacheHierarchy uniqueName="[Range].[Average Order Value]" caption="Average Order Value" attribute="1" defaultMemberUniqueName="[Range].[Average Order Value].[All]" allUniqueName="[Range].[Average Order Valu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12000"/>
    <x v="0"/>
    <n v="12000"/>
    <x v="0"/>
  </r>
  <r>
    <x v="1"/>
    <x v="1"/>
    <x v="1"/>
    <n v="5000"/>
    <x v="1"/>
    <n v="5000"/>
    <x v="1"/>
  </r>
  <r>
    <x v="2"/>
    <x v="2"/>
    <x v="1"/>
    <n v="800"/>
    <x v="2"/>
    <n v="800"/>
    <x v="1"/>
  </r>
  <r>
    <x v="3"/>
    <x v="3"/>
    <x v="2"/>
    <n v="2500"/>
    <x v="3"/>
    <n v="2500"/>
    <x v="2"/>
  </r>
  <r>
    <x v="4"/>
    <x v="4"/>
    <x v="0"/>
    <n v="3500"/>
    <x v="4"/>
    <n v="3500"/>
    <x v="0"/>
  </r>
  <r>
    <x v="5"/>
    <x v="3"/>
    <x v="2"/>
    <n v="2500"/>
    <x v="3"/>
    <n v="2500"/>
    <x v="2"/>
  </r>
  <r>
    <x v="6"/>
    <x v="5"/>
    <x v="2"/>
    <n v="700"/>
    <x v="5"/>
    <n v="700"/>
    <x v="2"/>
  </r>
  <r>
    <x v="4"/>
    <x v="6"/>
    <x v="3"/>
    <n v="8500"/>
    <x v="6"/>
    <n v="8500"/>
    <x v="3"/>
  </r>
  <r>
    <x v="7"/>
    <x v="1"/>
    <x v="4"/>
    <n v="5000"/>
    <x v="7"/>
    <n v="5000"/>
    <x v="4"/>
  </r>
  <r>
    <x v="8"/>
    <x v="7"/>
    <x v="4"/>
    <n v="55000"/>
    <x v="8"/>
    <n v="55000"/>
    <x v="4"/>
  </r>
  <r>
    <x v="9"/>
    <x v="6"/>
    <x v="3"/>
    <n v="8500"/>
    <x v="6"/>
    <n v="8500"/>
    <x v="3"/>
  </r>
  <r>
    <x v="10"/>
    <x v="7"/>
    <x v="1"/>
    <n v="55000"/>
    <x v="9"/>
    <n v="55000"/>
    <x v="1"/>
  </r>
  <r>
    <x v="11"/>
    <x v="4"/>
    <x v="0"/>
    <n v="3500"/>
    <x v="4"/>
    <n v="3500"/>
    <x v="0"/>
  </r>
  <r>
    <x v="12"/>
    <x v="8"/>
    <x v="4"/>
    <n v="30000"/>
    <x v="10"/>
    <n v="30000"/>
    <x v="4"/>
  </r>
  <r>
    <x v="13"/>
    <x v="0"/>
    <x v="4"/>
    <n v="12000"/>
    <x v="11"/>
    <n v="12000"/>
    <x v="4"/>
  </r>
  <r>
    <x v="14"/>
    <x v="9"/>
    <x v="4"/>
    <n v="600"/>
    <x v="12"/>
    <n v="600"/>
    <x v="4"/>
  </r>
  <r>
    <x v="15"/>
    <x v="9"/>
    <x v="1"/>
    <n v="600"/>
    <x v="13"/>
    <n v="600"/>
    <x v="1"/>
  </r>
  <r>
    <x v="16"/>
    <x v="0"/>
    <x v="1"/>
    <n v="12000"/>
    <x v="14"/>
    <n v="12000"/>
    <x v="1"/>
  </r>
  <r>
    <x v="17"/>
    <x v="5"/>
    <x v="4"/>
    <n v="700"/>
    <x v="15"/>
    <n v="700"/>
    <x v="4"/>
  </r>
  <r>
    <x v="18"/>
    <x v="8"/>
    <x v="2"/>
    <n v="30000"/>
    <x v="16"/>
    <n v="30000"/>
    <x v="2"/>
  </r>
  <r>
    <x v="19"/>
    <x v="8"/>
    <x v="4"/>
    <n v="30000"/>
    <x v="10"/>
    <n v="30000"/>
    <x v="4"/>
  </r>
  <r>
    <x v="20"/>
    <x v="5"/>
    <x v="2"/>
    <n v="700"/>
    <x v="5"/>
    <n v="700"/>
    <x v="2"/>
  </r>
  <r>
    <x v="21"/>
    <x v="5"/>
    <x v="0"/>
    <n v="700"/>
    <x v="17"/>
    <n v="700"/>
    <x v="0"/>
  </r>
  <r>
    <x v="22"/>
    <x v="4"/>
    <x v="1"/>
    <n v="3500"/>
    <x v="5"/>
    <n v="3500"/>
    <x v="1"/>
  </r>
  <r>
    <x v="23"/>
    <x v="10"/>
    <x v="3"/>
    <n v="2200"/>
    <x v="18"/>
    <n v="2200"/>
    <x v="3"/>
  </r>
  <r>
    <x v="24"/>
    <x v="11"/>
    <x v="4"/>
    <n v="20000"/>
    <x v="19"/>
    <n v="20000"/>
    <x v="4"/>
  </r>
  <r>
    <x v="25"/>
    <x v="12"/>
    <x v="4"/>
    <n v="1000"/>
    <x v="20"/>
    <n v="1000"/>
    <x v="4"/>
  </r>
  <r>
    <x v="26"/>
    <x v="8"/>
    <x v="2"/>
    <n v="30000"/>
    <x v="16"/>
    <n v="30000"/>
    <x v="2"/>
  </r>
  <r>
    <x v="27"/>
    <x v="13"/>
    <x v="0"/>
    <n v="2500"/>
    <x v="7"/>
    <n v="2500"/>
    <x v="0"/>
  </r>
  <r>
    <x v="28"/>
    <x v="1"/>
    <x v="4"/>
    <n v="5000"/>
    <x v="7"/>
    <n v="5000"/>
    <x v="4"/>
  </r>
  <r>
    <x v="29"/>
    <x v="3"/>
    <x v="1"/>
    <n v="2500"/>
    <x v="21"/>
    <n v="2500"/>
    <x v="1"/>
  </r>
  <r>
    <x v="30"/>
    <x v="3"/>
    <x v="0"/>
    <n v="2500"/>
    <x v="7"/>
    <n v="2500"/>
    <x v="0"/>
  </r>
  <r>
    <x v="31"/>
    <x v="2"/>
    <x v="2"/>
    <n v="800"/>
    <x v="22"/>
    <n v="800"/>
    <x v="2"/>
  </r>
  <r>
    <x v="32"/>
    <x v="12"/>
    <x v="2"/>
    <n v="1000"/>
    <x v="1"/>
    <n v="1000"/>
    <x v="2"/>
  </r>
  <r>
    <x v="33"/>
    <x v="13"/>
    <x v="0"/>
    <n v="2500"/>
    <x v="7"/>
    <n v="2500"/>
    <x v="0"/>
  </r>
  <r>
    <x v="34"/>
    <x v="4"/>
    <x v="4"/>
    <n v="3500"/>
    <x v="23"/>
    <n v="3500"/>
    <x v="4"/>
  </r>
  <r>
    <x v="35"/>
    <x v="11"/>
    <x v="2"/>
    <n v="20000"/>
    <x v="24"/>
    <n v="20000"/>
    <x v="2"/>
  </r>
  <r>
    <x v="36"/>
    <x v="8"/>
    <x v="4"/>
    <n v="30000"/>
    <x v="10"/>
    <n v="30000"/>
    <x v="4"/>
  </r>
  <r>
    <x v="37"/>
    <x v="4"/>
    <x v="3"/>
    <n v="3500"/>
    <x v="25"/>
    <n v="3500"/>
    <x v="3"/>
  </r>
  <r>
    <x v="38"/>
    <x v="5"/>
    <x v="1"/>
    <n v="700"/>
    <x v="26"/>
    <n v="700"/>
    <x v="1"/>
  </r>
  <r>
    <x v="39"/>
    <x v="1"/>
    <x v="1"/>
    <n v="5000"/>
    <x v="1"/>
    <n v="5000"/>
    <x v="1"/>
  </r>
  <r>
    <x v="40"/>
    <x v="12"/>
    <x v="1"/>
    <n v="1000"/>
    <x v="27"/>
    <n v="1000"/>
    <x v="1"/>
  </r>
  <r>
    <x v="4"/>
    <x v="8"/>
    <x v="0"/>
    <n v="30000"/>
    <x v="28"/>
    <n v="30000"/>
    <x v="0"/>
  </r>
  <r>
    <x v="41"/>
    <x v="10"/>
    <x v="3"/>
    <n v="2200"/>
    <x v="18"/>
    <n v="2200"/>
    <x v="3"/>
  </r>
  <r>
    <x v="42"/>
    <x v="2"/>
    <x v="2"/>
    <n v="800"/>
    <x v="22"/>
    <n v="800"/>
    <x v="2"/>
  </r>
  <r>
    <x v="43"/>
    <x v="3"/>
    <x v="4"/>
    <n v="2500"/>
    <x v="1"/>
    <n v="2500"/>
    <x v="4"/>
  </r>
  <r>
    <x v="40"/>
    <x v="13"/>
    <x v="4"/>
    <n v="2500"/>
    <x v="1"/>
    <n v="2500"/>
    <x v="4"/>
  </r>
  <r>
    <x v="3"/>
    <x v="0"/>
    <x v="0"/>
    <n v="12000"/>
    <x v="0"/>
    <n v="12000"/>
    <x v="0"/>
  </r>
  <r>
    <x v="44"/>
    <x v="13"/>
    <x v="3"/>
    <n v="2500"/>
    <x v="29"/>
    <n v="2500"/>
    <x v="3"/>
  </r>
  <r>
    <x v="45"/>
    <x v="2"/>
    <x v="4"/>
    <n v="800"/>
    <x v="30"/>
    <n v="800"/>
    <x v="4"/>
  </r>
  <r>
    <x v="46"/>
    <x v="3"/>
    <x v="4"/>
    <n v="2500"/>
    <x v="1"/>
    <n v="2500"/>
    <x v="4"/>
  </r>
  <r>
    <x v="47"/>
    <x v="4"/>
    <x v="1"/>
    <n v="3500"/>
    <x v="5"/>
    <n v="3500"/>
    <x v="1"/>
  </r>
  <r>
    <x v="48"/>
    <x v="14"/>
    <x v="1"/>
    <n v="3000"/>
    <x v="31"/>
    <n v="3000"/>
    <x v="1"/>
  </r>
  <r>
    <x v="49"/>
    <x v="9"/>
    <x v="4"/>
    <n v="600"/>
    <x v="12"/>
    <n v="600"/>
    <x v="4"/>
  </r>
  <r>
    <x v="50"/>
    <x v="1"/>
    <x v="3"/>
    <n v="5000"/>
    <x v="32"/>
    <n v="5000"/>
    <x v="3"/>
  </r>
  <r>
    <x v="51"/>
    <x v="0"/>
    <x v="1"/>
    <n v="12000"/>
    <x v="14"/>
    <n v="12000"/>
    <x v="1"/>
  </r>
  <r>
    <x v="52"/>
    <x v="3"/>
    <x v="3"/>
    <n v="2500"/>
    <x v="29"/>
    <n v="2500"/>
    <x v="3"/>
  </r>
  <r>
    <x v="53"/>
    <x v="12"/>
    <x v="1"/>
    <n v="1000"/>
    <x v="27"/>
    <n v="1000"/>
    <x v="1"/>
  </r>
  <r>
    <x v="54"/>
    <x v="9"/>
    <x v="1"/>
    <n v="600"/>
    <x v="13"/>
    <n v="600"/>
    <x v="1"/>
  </r>
  <r>
    <x v="55"/>
    <x v="7"/>
    <x v="1"/>
    <n v="55000"/>
    <x v="9"/>
    <n v="55000"/>
    <x v="1"/>
  </r>
  <r>
    <x v="56"/>
    <x v="13"/>
    <x v="0"/>
    <n v="2500"/>
    <x v="7"/>
    <n v="2500"/>
    <x v="0"/>
  </r>
  <r>
    <x v="57"/>
    <x v="12"/>
    <x v="0"/>
    <n v="1000"/>
    <x v="22"/>
    <n v="1000"/>
    <x v="0"/>
  </r>
  <r>
    <x v="58"/>
    <x v="13"/>
    <x v="2"/>
    <n v="2500"/>
    <x v="3"/>
    <n v="2500"/>
    <x v="2"/>
  </r>
  <r>
    <x v="59"/>
    <x v="8"/>
    <x v="0"/>
    <n v="30000"/>
    <x v="28"/>
    <n v="30000"/>
    <x v="0"/>
  </r>
  <r>
    <x v="60"/>
    <x v="13"/>
    <x v="2"/>
    <n v="2500"/>
    <x v="3"/>
    <n v="2500"/>
    <x v="2"/>
  </r>
  <r>
    <x v="61"/>
    <x v="7"/>
    <x v="2"/>
    <n v="55000"/>
    <x v="33"/>
    <n v="55000"/>
    <x v="2"/>
  </r>
  <r>
    <x v="62"/>
    <x v="10"/>
    <x v="3"/>
    <n v="2200"/>
    <x v="18"/>
    <n v="2200"/>
    <x v="3"/>
  </r>
  <r>
    <x v="28"/>
    <x v="3"/>
    <x v="1"/>
    <n v="2500"/>
    <x v="21"/>
    <n v="2500"/>
    <x v="1"/>
  </r>
  <r>
    <x v="9"/>
    <x v="8"/>
    <x v="4"/>
    <n v="30000"/>
    <x v="10"/>
    <n v="30000"/>
    <x v="4"/>
  </r>
  <r>
    <x v="63"/>
    <x v="5"/>
    <x v="1"/>
    <n v="700"/>
    <x v="26"/>
    <n v="700"/>
    <x v="1"/>
  </r>
  <r>
    <x v="64"/>
    <x v="1"/>
    <x v="4"/>
    <n v="5000"/>
    <x v="7"/>
    <n v="5000"/>
    <x v="4"/>
  </r>
  <r>
    <x v="65"/>
    <x v="6"/>
    <x v="2"/>
    <n v="8500"/>
    <x v="34"/>
    <n v="8500"/>
    <x v="2"/>
  </r>
  <r>
    <x v="66"/>
    <x v="13"/>
    <x v="2"/>
    <n v="2500"/>
    <x v="3"/>
    <n v="2500"/>
    <x v="2"/>
  </r>
  <r>
    <x v="67"/>
    <x v="1"/>
    <x v="4"/>
    <n v="5000"/>
    <x v="7"/>
    <n v="5000"/>
    <x v="4"/>
  </r>
  <r>
    <x v="68"/>
    <x v="9"/>
    <x v="3"/>
    <n v="600"/>
    <x v="35"/>
    <n v="600"/>
    <x v="3"/>
  </r>
  <r>
    <x v="2"/>
    <x v="10"/>
    <x v="1"/>
    <n v="2200"/>
    <x v="36"/>
    <n v="2200"/>
    <x v="1"/>
  </r>
  <r>
    <x v="69"/>
    <x v="13"/>
    <x v="2"/>
    <n v="2500"/>
    <x v="3"/>
    <n v="2500"/>
    <x v="2"/>
  </r>
  <r>
    <x v="27"/>
    <x v="11"/>
    <x v="2"/>
    <n v="20000"/>
    <x v="24"/>
    <n v="20000"/>
    <x v="2"/>
  </r>
  <r>
    <x v="70"/>
    <x v="8"/>
    <x v="2"/>
    <n v="30000"/>
    <x v="16"/>
    <n v="30000"/>
    <x v="2"/>
  </r>
  <r>
    <x v="7"/>
    <x v="13"/>
    <x v="3"/>
    <n v="2500"/>
    <x v="29"/>
    <n v="2500"/>
    <x v="3"/>
  </r>
  <r>
    <x v="71"/>
    <x v="6"/>
    <x v="1"/>
    <n v="8500"/>
    <x v="37"/>
    <n v="8500"/>
    <x v="1"/>
  </r>
  <r>
    <x v="72"/>
    <x v="14"/>
    <x v="4"/>
    <n v="3000"/>
    <x v="38"/>
    <n v="3000"/>
    <x v="4"/>
  </r>
  <r>
    <x v="19"/>
    <x v="11"/>
    <x v="0"/>
    <n v="20000"/>
    <x v="39"/>
    <n v="20000"/>
    <x v="0"/>
  </r>
  <r>
    <x v="2"/>
    <x v="1"/>
    <x v="0"/>
    <n v="5000"/>
    <x v="40"/>
    <n v="5000"/>
    <x v="0"/>
  </r>
  <r>
    <x v="1"/>
    <x v="4"/>
    <x v="4"/>
    <n v="3500"/>
    <x v="23"/>
    <n v="3500"/>
    <x v="4"/>
  </r>
  <r>
    <x v="7"/>
    <x v="0"/>
    <x v="3"/>
    <n v="12000"/>
    <x v="41"/>
    <n v="12000"/>
    <x v="3"/>
  </r>
  <r>
    <x v="73"/>
    <x v="1"/>
    <x v="3"/>
    <n v="5000"/>
    <x v="32"/>
    <n v="5000"/>
    <x v="3"/>
  </r>
  <r>
    <x v="74"/>
    <x v="7"/>
    <x v="0"/>
    <n v="55000"/>
    <x v="42"/>
    <n v="55000"/>
    <x v="0"/>
  </r>
  <r>
    <x v="75"/>
    <x v="14"/>
    <x v="4"/>
    <n v="3000"/>
    <x v="38"/>
    <n v="3000"/>
    <x v="4"/>
  </r>
  <r>
    <x v="76"/>
    <x v="13"/>
    <x v="0"/>
    <n v="2500"/>
    <x v="7"/>
    <n v="2500"/>
    <x v="0"/>
  </r>
  <r>
    <x v="77"/>
    <x v="4"/>
    <x v="1"/>
    <n v="3500"/>
    <x v="5"/>
    <n v="3500"/>
    <x v="1"/>
  </r>
  <r>
    <x v="2"/>
    <x v="2"/>
    <x v="4"/>
    <n v="800"/>
    <x v="30"/>
    <n v="800"/>
    <x v="4"/>
  </r>
  <r>
    <x v="78"/>
    <x v="5"/>
    <x v="1"/>
    <n v="700"/>
    <x v="26"/>
    <n v="700"/>
    <x v="1"/>
  </r>
  <r>
    <x v="79"/>
    <x v="6"/>
    <x v="0"/>
    <n v="8500"/>
    <x v="43"/>
    <n v="8500"/>
    <x v="0"/>
  </r>
  <r>
    <x v="80"/>
    <x v="14"/>
    <x v="2"/>
    <n v="3000"/>
    <x v="32"/>
    <n v="3000"/>
    <x v="2"/>
  </r>
  <r>
    <x v="81"/>
    <x v="9"/>
    <x v="0"/>
    <n v="600"/>
    <x v="44"/>
    <n v="600"/>
    <x v="0"/>
  </r>
  <r>
    <x v="82"/>
    <x v="6"/>
    <x v="0"/>
    <n v="8500"/>
    <x v="43"/>
    <n v="8500"/>
    <x v="0"/>
  </r>
  <r>
    <x v="83"/>
    <x v="0"/>
    <x v="2"/>
    <n v="12000"/>
    <x v="10"/>
    <n v="12000"/>
    <x v="2"/>
  </r>
  <r>
    <x v="84"/>
    <x v="5"/>
    <x v="2"/>
    <n v="700"/>
    <x v="5"/>
    <n v="700"/>
    <x v="2"/>
  </r>
  <r>
    <x v="85"/>
    <x v="13"/>
    <x v="1"/>
    <n v="2500"/>
    <x v="21"/>
    <n v="2500"/>
    <x v="1"/>
  </r>
  <r>
    <x v="86"/>
    <x v="0"/>
    <x v="2"/>
    <n v="12000"/>
    <x v="10"/>
    <n v="12000"/>
    <x v="2"/>
  </r>
  <r>
    <x v="39"/>
    <x v="0"/>
    <x v="3"/>
    <n v="12000"/>
    <x v="41"/>
    <n v="12000"/>
    <x v="3"/>
  </r>
  <r>
    <x v="87"/>
    <x v="11"/>
    <x v="1"/>
    <n v="20000"/>
    <x v="40"/>
    <n v="20000"/>
    <x v="1"/>
  </r>
  <r>
    <x v="88"/>
    <x v="9"/>
    <x v="4"/>
    <n v="600"/>
    <x v="12"/>
    <n v="600"/>
    <x v="4"/>
  </r>
  <r>
    <x v="89"/>
    <x v="10"/>
    <x v="1"/>
    <n v="2200"/>
    <x v="36"/>
    <n v="2200"/>
    <x v="1"/>
  </r>
  <r>
    <x v="29"/>
    <x v="5"/>
    <x v="0"/>
    <n v="700"/>
    <x v="17"/>
    <n v="700"/>
    <x v="0"/>
  </r>
  <r>
    <x v="90"/>
    <x v="6"/>
    <x v="1"/>
    <n v="8500"/>
    <x v="37"/>
    <n v="8500"/>
    <x v="1"/>
  </r>
  <r>
    <x v="91"/>
    <x v="14"/>
    <x v="4"/>
    <n v="3000"/>
    <x v="38"/>
    <n v="3000"/>
    <x v="4"/>
  </r>
  <r>
    <x v="92"/>
    <x v="10"/>
    <x v="0"/>
    <n v="2200"/>
    <x v="45"/>
    <n v="2200"/>
    <x v="0"/>
  </r>
  <r>
    <x v="93"/>
    <x v="9"/>
    <x v="4"/>
    <n v="600"/>
    <x v="12"/>
    <n v="600"/>
    <x v="4"/>
  </r>
  <r>
    <x v="94"/>
    <x v="10"/>
    <x v="4"/>
    <n v="2200"/>
    <x v="46"/>
    <n v="2200"/>
    <x v="4"/>
  </r>
  <r>
    <x v="95"/>
    <x v="1"/>
    <x v="2"/>
    <n v="5000"/>
    <x v="47"/>
    <n v="5000"/>
    <x v="2"/>
  </r>
  <r>
    <x v="11"/>
    <x v="6"/>
    <x v="0"/>
    <n v="8500"/>
    <x v="43"/>
    <n v="8500"/>
    <x v="0"/>
  </r>
  <r>
    <x v="96"/>
    <x v="8"/>
    <x v="3"/>
    <n v="30000"/>
    <x v="48"/>
    <n v="30000"/>
    <x v="3"/>
  </r>
  <r>
    <x v="46"/>
    <x v="11"/>
    <x v="2"/>
    <n v="20000"/>
    <x v="24"/>
    <n v="20000"/>
    <x v="2"/>
  </r>
  <r>
    <x v="62"/>
    <x v="10"/>
    <x v="3"/>
    <n v="2200"/>
    <x v="18"/>
    <n v="2200"/>
    <x v="3"/>
  </r>
  <r>
    <x v="97"/>
    <x v="11"/>
    <x v="0"/>
    <n v="20000"/>
    <x v="39"/>
    <n v="20000"/>
    <x v="0"/>
  </r>
  <r>
    <x v="98"/>
    <x v="11"/>
    <x v="2"/>
    <n v="20000"/>
    <x v="24"/>
    <n v="20000"/>
    <x v="2"/>
  </r>
  <r>
    <x v="99"/>
    <x v="13"/>
    <x v="1"/>
    <n v="2500"/>
    <x v="21"/>
    <n v="2500"/>
    <x v="1"/>
  </r>
  <r>
    <x v="39"/>
    <x v="6"/>
    <x v="2"/>
    <n v="8500"/>
    <x v="34"/>
    <n v="8500"/>
    <x v="2"/>
  </r>
  <r>
    <x v="100"/>
    <x v="0"/>
    <x v="0"/>
    <n v="12000"/>
    <x v="0"/>
    <n v="12000"/>
    <x v="0"/>
  </r>
  <r>
    <x v="101"/>
    <x v="13"/>
    <x v="2"/>
    <n v="2500"/>
    <x v="3"/>
    <n v="2500"/>
    <x v="2"/>
  </r>
  <r>
    <x v="102"/>
    <x v="13"/>
    <x v="2"/>
    <n v="2500"/>
    <x v="3"/>
    <n v="2500"/>
    <x v="2"/>
  </r>
  <r>
    <x v="103"/>
    <x v="13"/>
    <x v="2"/>
    <n v="2500"/>
    <x v="3"/>
    <n v="2500"/>
    <x v="2"/>
  </r>
  <r>
    <x v="100"/>
    <x v="3"/>
    <x v="0"/>
    <n v="2500"/>
    <x v="7"/>
    <n v="2500"/>
    <x v="0"/>
  </r>
  <r>
    <x v="104"/>
    <x v="5"/>
    <x v="2"/>
    <n v="700"/>
    <x v="5"/>
    <n v="700"/>
    <x v="2"/>
  </r>
  <r>
    <x v="60"/>
    <x v="5"/>
    <x v="2"/>
    <n v="700"/>
    <x v="5"/>
    <n v="700"/>
    <x v="2"/>
  </r>
  <r>
    <x v="105"/>
    <x v="10"/>
    <x v="2"/>
    <n v="2200"/>
    <x v="49"/>
    <n v="2200"/>
    <x v="2"/>
  </r>
  <r>
    <x v="106"/>
    <x v="2"/>
    <x v="3"/>
    <n v="800"/>
    <x v="44"/>
    <n v="800"/>
    <x v="3"/>
  </r>
  <r>
    <x v="9"/>
    <x v="5"/>
    <x v="1"/>
    <n v="700"/>
    <x v="26"/>
    <n v="700"/>
    <x v="1"/>
  </r>
  <r>
    <x v="39"/>
    <x v="4"/>
    <x v="1"/>
    <n v="3500"/>
    <x v="5"/>
    <n v="3500"/>
    <x v="1"/>
  </r>
  <r>
    <x v="107"/>
    <x v="2"/>
    <x v="4"/>
    <n v="800"/>
    <x v="30"/>
    <n v="800"/>
    <x v="4"/>
  </r>
  <r>
    <x v="108"/>
    <x v="5"/>
    <x v="4"/>
    <n v="700"/>
    <x v="15"/>
    <n v="700"/>
    <x v="4"/>
  </r>
  <r>
    <x v="43"/>
    <x v="2"/>
    <x v="1"/>
    <n v="800"/>
    <x v="2"/>
    <n v="800"/>
    <x v="1"/>
  </r>
  <r>
    <x v="72"/>
    <x v="8"/>
    <x v="4"/>
    <n v="30000"/>
    <x v="10"/>
    <n v="30000"/>
    <x v="4"/>
  </r>
  <r>
    <x v="109"/>
    <x v="2"/>
    <x v="3"/>
    <n v="800"/>
    <x v="44"/>
    <n v="800"/>
    <x v="3"/>
  </r>
  <r>
    <x v="110"/>
    <x v="5"/>
    <x v="3"/>
    <n v="700"/>
    <x v="50"/>
    <n v="700"/>
    <x v="3"/>
  </r>
  <r>
    <x v="108"/>
    <x v="1"/>
    <x v="2"/>
    <n v="5000"/>
    <x v="47"/>
    <n v="5000"/>
    <x v="2"/>
  </r>
  <r>
    <x v="24"/>
    <x v="2"/>
    <x v="4"/>
    <n v="800"/>
    <x v="30"/>
    <n v="800"/>
    <x v="4"/>
  </r>
  <r>
    <x v="1"/>
    <x v="7"/>
    <x v="3"/>
    <n v="55000"/>
    <x v="51"/>
    <n v="55000"/>
    <x v="3"/>
  </r>
  <r>
    <x v="62"/>
    <x v="5"/>
    <x v="1"/>
    <n v="700"/>
    <x v="26"/>
    <n v="700"/>
    <x v="1"/>
  </r>
  <r>
    <x v="111"/>
    <x v="5"/>
    <x v="4"/>
    <n v="700"/>
    <x v="15"/>
    <n v="700"/>
    <x v="4"/>
  </r>
  <r>
    <x v="74"/>
    <x v="3"/>
    <x v="2"/>
    <n v="2500"/>
    <x v="3"/>
    <n v="2500"/>
    <x v="2"/>
  </r>
  <r>
    <x v="18"/>
    <x v="10"/>
    <x v="1"/>
    <n v="2200"/>
    <x v="36"/>
    <n v="2200"/>
    <x v="1"/>
  </r>
  <r>
    <x v="112"/>
    <x v="10"/>
    <x v="0"/>
    <n v="2200"/>
    <x v="45"/>
    <n v="2200"/>
    <x v="0"/>
  </r>
  <r>
    <x v="57"/>
    <x v="0"/>
    <x v="2"/>
    <n v="12000"/>
    <x v="10"/>
    <n v="12000"/>
    <x v="2"/>
  </r>
  <r>
    <x v="84"/>
    <x v="11"/>
    <x v="4"/>
    <n v="20000"/>
    <x v="19"/>
    <n v="20000"/>
    <x v="4"/>
  </r>
  <r>
    <x v="113"/>
    <x v="0"/>
    <x v="0"/>
    <n v="12000"/>
    <x v="0"/>
    <n v="12000"/>
    <x v="0"/>
  </r>
  <r>
    <x v="114"/>
    <x v="11"/>
    <x v="0"/>
    <n v="20000"/>
    <x v="39"/>
    <n v="20000"/>
    <x v="0"/>
  </r>
  <r>
    <x v="115"/>
    <x v="10"/>
    <x v="3"/>
    <n v="2200"/>
    <x v="18"/>
    <n v="2200"/>
    <x v="3"/>
  </r>
  <r>
    <x v="116"/>
    <x v="11"/>
    <x v="3"/>
    <n v="20000"/>
    <x v="10"/>
    <n v="20000"/>
    <x v="3"/>
  </r>
  <r>
    <x v="117"/>
    <x v="12"/>
    <x v="1"/>
    <n v="1000"/>
    <x v="27"/>
    <n v="1000"/>
    <x v="1"/>
  </r>
  <r>
    <x v="118"/>
    <x v="7"/>
    <x v="4"/>
    <n v="55000"/>
    <x v="8"/>
    <n v="55000"/>
    <x v="4"/>
  </r>
  <r>
    <x v="119"/>
    <x v="12"/>
    <x v="2"/>
    <n v="1000"/>
    <x v="1"/>
    <n v="1000"/>
    <x v="2"/>
  </r>
  <r>
    <x v="120"/>
    <x v="12"/>
    <x v="4"/>
    <n v="1000"/>
    <x v="20"/>
    <n v="1000"/>
    <x v="4"/>
  </r>
  <r>
    <x v="64"/>
    <x v="0"/>
    <x v="0"/>
    <n v="12000"/>
    <x v="0"/>
    <n v="12000"/>
    <x v="0"/>
  </r>
  <r>
    <x v="121"/>
    <x v="7"/>
    <x v="4"/>
    <n v="55000"/>
    <x v="8"/>
    <n v="55000"/>
    <x v="4"/>
  </r>
  <r>
    <x v="5"/>
    <x v="9"/>
    <x v="1"/>
    <n v="600"/>
    <x v="13"/>
    <n v="600"/>
    <x v="1"/>
  </r>
  <r>
    <x v="122"/>
    <x v="5"/>
    <x v="4"/>
    <n v="700"/>
    <x v="15"/>
    <n v="700"/>
    <x v="4"/>
  </r>
  <r>
    <x v="74"/>
    <x v="5"/>
    <x v="2"/>
    <n v="700"/>
    <x v="5"/>
    <n v="700"/>
    <x v="2"/>
  </r>
  <r>
    <x v="35"/>
    <x v="3"/>
    <x v="3"/>
    <n v="2500"/>
    <x v="29"/>
    <n v="2500"/>
    <x v="3"/>
  </r>
  <r>
    <x v="123"/>
    <x v="4"/>
    <x v="2"/>
    <n v="3500"/>
    <x v="52"/>
    <n v="3500"/>
    <x v="2"/>
  </r>
  <r>
    <x v="4"/>
    <x v="0"/>
    <x v="2"/>
    <n v="12000"/>
    <x v="10"/>
    <n v="12000"/>
    <x v="2"/>
  </r>
  <r>
    <x v="120"/>
    <x v="1"/>
    <x v="1"/>
    <n v="5000"/>
    <x v="1"/>
    <n v="5000"/>
    <x v="1"/>
  </r>
  <r>
    <x v="112"/>
    <x v="8"/>
    <x v="3"/>
    <n v="30000"/>
    <x v="48"/>
    <n v="30000"/>
    <x v="3"/>
  </r>
  <r>
    <x v="80"/>
    <x v="4"/>
    <x v="3"/>
    <n v="3500"/>
    <x v="25"/>
    <n v="3500"/>
    <x v="3"/>
  </r>
  <r>
    <x v="53"/>
    <x v="14"/>
    <x v="1"/>
    <n v="3000"/>
    <x v="31"/>
    <n v="3000"/>
    <x v="1"/>
  </r>
  <r>
    <x v="60"/>
    <x v="4"/>
    <x v="2"/>
    <n v="3500"/>
    <x v="52"/>
    <n v="3500"/>
    <x v="2"/>
  </r>
  <r>
    <x v="124"/>
    <x v="0"/>
    <x v="1"/>
    <n v="12000"/>
    <x v="14"/>
    <n v="12000"/>
    <x v="1"/>
  </r>
  <r>
    <x v="125"/>
    <x v="10"/>
    <x v="2"/>
    <n v="2200"/>
    <x v="49"/>
    <n v="2200"/>
    <x v="2"/>
  </r>
  <r>
    <x v="126"/>
    <x v="3"/>
    <x v="4"/>
    <n v="2500"/>
    <x v="1"/>
    <n v="2500"/>
    <x v="4"/>
  </r>
  <r>
    <x v="127"/>
    <x v="7"/>
    <x v="1"/>
    <n v="55000"/>
    <x v="9"/>
    <n v="55000"/>
    <x v="1"/>
  </r>
  <r>
    <x v="128"/>
    <x v="12"/>
    <x v="3"/>
    <n v="1000"/>
    <x v="31"/>
    <n v="1000"/>
    <x v="3"/>
  </r>
  <r>
    <x v="129"/>
    <x v="5"/>
    <x v="3"/>
    <n v="700"/>
    <x v="50"/>
    <n v="700"/>
    <x v="3"/>
  </r>
  <r>
    <x v="100"/>
    <x v="12"/>
    <x v="2"/>
    <n v="1000"/>
    <x v="1"/>
    <n v="1000"/>
    <x v="2"/>
  </r>
  <r>
    <x v="93"/>
    <x v="8"/>
    <x v="0"/>
    <n v="30000"/>
    <x v="28"/>
    <n v="30000"/>
    <x v="0"/>
  </r>
  <r>
    <x v="41"/>
    <x v="5"/>
    <x v="1"/>
    <n v="700"/>
    <x v="26"/>
    <n v="700"/>
    <x v="1"/>
  </r>
  <r>
    <x v="130"/>
    <x v="12"/>
    <x v="1"/>
    <n v="1000"/>
    <x v="27"/>
    <n v="1000"/>
    <x v="1"/>
  </r>
  <r>
    <x v="94"/>
    <x v="11"/>
    <x v="0"/>
    <n v="20000"/>
    <x v="39"/>
    <n v="20000"/>
    <x v="0"/>
  </r>
  <r>
    <x v="131"/>
    <x v="9"/>
    <x v="1"/>
    <n v="600"/>
    <x v="13"/>
    <n v="600"/>
    <x v="1"/>
  </r>
  <r>
    <x v="120"/>
    <x v="5"/>
    <x v="2"/>
    <n v="700"/>
    <x v="5"/>
    <n v="700"/>
    <x v="2"/>
  </r>
  <r>
    <x v="64"/>
    <x v="10"/>
    <x v="2"/>
    <n v="2200"/>
    <x v="49"/>
    <n v="2200"/>
    <x v="2"/>
  </r>
  <r>
    <x v="121"/>
    <x v="2"/>
    <x v="3"/>
    <n v="800"/>
    <x v="44"/>
    <n v="800"/>
    <x v="3"/>
  </r>
  <r>
    <x v="5"/>
    <x v="5"/>
    <x v="1"/>
    <n v="700"/>
    <x v="26"/>
    <n v="700"/>
    <x v="1"/>
  </r>
  <r>
    <x v="122"/>
    <x v="4"/>
    <x v="1"/>
    <n v="3500"/>
    <x v="5"/>
    <n v="3500"/>
    <x v="1"/>
  </r>
  <r>
    <x v="74"/>
    <x v="2"/>
    <x v="4"/>
    <n v="800"/>
    <x v="30"/>
    <n v="800"/>
    <x v="4"/>
  </r>
  <r>
    <x v="35"/>
    <x v="5"/>
    <x v="4"/>
    <n v="700"/>
    <x v="15"/>
    <n v="700"/>
    <x v="4"/>
  </r>
  <r>
    <x v="123"/>
    <x v="2"/>
    <x v="1"/>
    <n v="800"/>
    <x v="2"/>
    <n v="800"/>
    <x v="1"/>
  </r>
  <r>
    <x v="4"/>
    <x v="8"/>
    <x v="4"/>
    <n v="30000"/>
    <x v="10"/>
    <n v="30000"/>
    <x v="4"/>
  </r>
  <r>
    <x v="120"/>
    <x v="2"/>
    <x v="3"/>
    <n v="800"/>
    <x v="44"/>
    <n v="800"/>
    <x v="3"/>
  </r>
  <r>
    <x v="112"/>
    <x v="5"/>
    <x v="3"/>
    <n v="700"/>
    <x v="50"/>
    <n v="700"/>
    <x v="3"/>
  </r>
  <r>
    <x v="80"/>
    <x v="1"/>
    <x v="2"/>
    <n v="5000"/>
    <x v="47"/>
    <n v="5000"/>
    <x v="2"/>
  </r>
  <r>
    <x v="53"/>
    <x v="2"/>
    <x v="4"/>
    <n v="800"/>
    <x v="30"/>
    <n v="800"/>
    <x v="4"/>
  </r>
  <r>
    <x v="60"/>
    <x v="7"/>
    <x v="3"/>
    <n v="55000"/>
    <x v="51"/>
    <n v="55000"/>
    <x v="3"/>
  </r>
  <r>
    <x v="124"/>
    <x v="5"/>
    <x v="1"/>
    <n v="700"/>
    <x v="26"/>
    <n v="700"/>
    <x v="1"/>
  </r>
  <r>
    <x v="125"/>
    <x v="5"/>
    <x v="4"/>
    <n v="700"/>
    <x v="15"/>
    <n v="700"/>
    <x v="4"/>
  </r>
  <r>
    <x v="126"/>
    <x v="3"/>
    <x v="2"/>
    <n v="2500"/>
    <x v="3"/>
    <n v="2500"/>
    <x v="2"/>
  </r>
  <r>
    <x v="127"/>
    <x v="10"/>
    <x v="1"/>
    <n v="2200"/>
    <x v="36"/>
    <n v="2200"/>
    <x v="1"/>
  </r>
  <r>
    <x v="128"/>
    <x v="8"/>
    <x v="0"/>
    <n v="30000"/>
    <x v="28"/>
    <n v="30000"/>
    <x v="0"/>
  </r>
  <r>
    <x v="94"/>
    <x v="3"/>
    <x v="2"/>
    <n v="2500"/>
    <x v="3"/>
    <n v="25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6593FE-69CB-4B6B-91E9-7FA29996D1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7">
    <pivotField showAll="0"/>
    <pivotField showAll="0"/>
    <pivotField showAll="0"/>
    <pivotField showAll="0"/>
    <pivotField dataField="1" showAll="0"/>
    <pivotField showAll="0"/>
    <pivotField showAll="0"/>
  </pivotFields>
  <rowItems count="1">
    <i/>
  </rowItems>
  <colItems count="1">
    <i/>
  </colItems>
  <dataFields count="1">
    <dataField name="Sum of Total Revenue" fld="4" baseField="0" baseItem="0" numFmtId="164"/>
  </dataFields>
  <formats count="6">
    <format dxfId="47">
      <pivotArea dataOnly="0" outline="0" axis="axisValues" fieldPosition="0"/>
    </format>
    <format dxfId="46">
      <pivotArea dataOnly="0" outline="0" axis="axisValues" fieldPosition="0"/>
    </format>
    <format dxfId="45">
      <pivotArea outline="0" collapsedLevelsAreSubtotals="1" fieldPosition="0"/>
    </format>
    <format dxfId="44">
      <pivotArea dataOnly="0" labelOnly="1" outline="0" axis="axisValues" fieldPosition="0"/>
    </format>
    <format dxfId="43">
      <pivotArea outline="0" collapsedLevelsAreSubtotals="1" fieldPosition="0"/>
    </format>
    <format dxfId="4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3B9B4A-5A11-491E-9CB7-121E921D81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E6:F22" firstHeaderRow="1" firstDataRow="1" firstDataCol="1"/>
  <pivotFields count="7">
    <pivotField showAll="0">
      <items count="133">
        <item x="98"/>
        <item x="92"/>
        <item x="100"/>
        <item x="41"/>
        <item x="38"/>
        <item x="117"/>
        <item x="33"/>
        <item x="123"/>
        <item x="83"/>
        <item x="127"/>
        <item x="34"/>
        <item x="50"/>
        <item x="5"/>
        <item x="19"/>
        <item x="107"/>
        <item x="9"/>
        <item x="14"/>
        <item x="76"/>
        <item x="109"/>
        <item x="61"/>
        <item x="120"/>
        <item x="65"/>
        <item x="94"/>
        <item x="7"/>
        <item x="74"/>
        <item x="59"/>
        <item x="16"/>
        <item x="81"/>
        <item x="56"/>
        <item x="99"/>
        <item x="49"/>
        <item x="29"/>
        <item x="101"/>
        <item x="53"/>
        <item x="113"/>
        <item x="68"/>
        <item x="36"/>
        <item x="96"/>
        <item x="95"/>
        <item x="66"/>
        <item x="52"/>
        <item x="80"/>
        <item x="2"/>
        <item x="31"/>
        <item x="70"/>
        <item x="28"/>
        <item x="131"/>
        <item x="8"/>
        <item x="122"/>
        <item x="91"/>
        <item x="88"/>
        <item x="116"/>
        <item x="27"/>
        <item x="79"/>
        <item x="35"/>
        <item x="85"/>
        <item x="22"/>
        <item x="40"/>
        <item x="45"/>
        <item x="20"/>
        <item x="63"/>
        <item x="21"/>
        <item x="102"/>
        <item x="84"/>
        <item x="12"/>
        <item x="124"/>
        <item x="60"/>
        <item x="32"/>
        <item x="48"/>
        <item x="44"/>
        <item x="13"/>
        <item x="26"/>
        <item x="77"/>
        <item x="112"/>
        <item x="0"/>
        <item x="4"/>
        <item x="10"/>
        <item x="47"/>
        <item x="105"/>
        <item x="111"/>
        <item x="87"/>
        <item x="37"/>
        <item x="11"/>
        <item x="103"/>
        <item x="46"/>
        <item x="58"/>
        <item x="125"/>
        <item x="57"/>
        <item x="104"/>
        <item x="78"/>
        <item x="121"/>
        <item x="42"/>
        <item x="6"/>
        <item x="43"/>
        <item x="23"/>
        <item x="3"/>
        <item x="71"/>
        <item x="64"/>
        <item x="73"/>
        <item x="129"/>
        <item x="72"/>
        <item x="24"/>
        <item x="118"/>
        <item x="114"/>
        <item x="69"/>
        <item x="39"/>
        <item x="82"/>
        <item x="126"/>
        <item x="75"/>
        <item x="25"/>
        <item x="15"/>
        <item x="128"/>
        <item x="93"/>
        <item x="51"/>
        <item x="130"/>
        <item x="119"/>
        <item x="89"/>
        <item x="90"/>
        <item x="108"/>
        <item x="1"/>
        <item x="30"/>
        <item x="54"/>
        <item x="110"/>
        <item x="115"/>
        <item x="55"/>
        <item x="17"/>
        <item x="106"/>
        <item x="67"/>
        <item x="86"/>
        <item x="62"/>
        <item x="97"/>
        <item x="18"/>
        <item t="default"/>
      </items>
    </pivotField>
    <pivotField axis="axisRow" showAll="0" sortType="descending">
      <items count="16">
        <item x="12"/>
        <item x="1"/>
        <item x="13"/>
        <item x="2"/>
        <item x="7"/>
        <item x="0"/>
        <item x="9"/>
        <item x="3"/>
        <item x="6"/>
        <item x="8"/>
        <item x="4"/>
        <item x="10"/>
        <item x="11"/>
        <item x="5"/>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4">
        <item x="13"/>
        <item x="26"/>
        <item x="2"/>
        <item x="27"/>
        <item x="12"/>
        <item x="15"/>
        <item x="30"/>
        <item x="35"/>
        <item x="20"/>
        <item x="50"/>
        <item x="36"/>
        <item x="44"/>
        <item x="21"/>
        <item x="17"/>
        <item x="31"/>
        <item x="5"/>
        <item x="22"/>
        <item x="46"/>
        <item x="1"/>
        <item x="38"/>
        <item x="18"/>
        <item x="23"/>
        <item x="29"/>
        <item x="37"/>
        <item x="45"/>
        <item x="7"/>
        <item x="25"/>
        <item x="49"/>
        <item x="14"/>
        <item x="3"/>
        <item x="4"/>
        <item x="32"/>
        <item x="52"/>
        <item x="40"/>
        <item x="11"/>
        <item x="47"/>
        <item x="6"/>
        <item x="43"/>
        <item x="41"/>
        <item x="19"/>
        <item x="34"/>
        <item x="0"/>
        <item x="9"/>
        <item x="10"/>
        <item x="39"/>
        <item x="48"/>
        <item x="24"/>
        <item x="8"/>
        <item x="28"/>
        <item x="16"/>
        <item x="51"/>
        <item x="42"/>
        <item x="33"/>
        <item t="default"/>
      </items>
    </pivotField>
    <pivotField showAll="0"/>
    <pivotField showAll="0">
      <items count="6">
        <item x="1"/>
        <item x="4"/>
        <item x="3"/>
        <item x="0"/>
        <item x="2"/>
        <item t="default"/>
      </items>
    </pivotField>
  </pivotFields>
  <rowFields count="1">
    <field x="1"/>
  </rowFields>
  <rowItems count="16">
    <i>
      <x v="9"/>
    </i>
    <i>
      <x v="4"/>
    </i>
    <i>
      <x v="12"/>
    </i>
    <i>
      <x v="5"/>
    </i>
    <i>
      <x v="8"/>
    </i>
    <i>
      <x v="1"/>
    </i>
    <i>
      <x v="2"/>
    </i>
    <i>
      <x v="7"/>
    </i>
    <i>
      <x v="10"/>
    </i>
    <i>
      <x v="11"/>
    </i>
    <i>
      <x v="13"/>
    </i>
    <i>
      <x v="14"/>
    </i>
    <i>
      <x/>
    </i>
    <i>
      <x v="3"/>
    </i>
    <i>
      <x v="6"/>
    </i>
    <i t="grand">
      <x/>
    </i>
  </rowItems>
  <colItems count="1">
    <i/>
  </colItems>
  <dataFields count="1">
    <dataField name="Sum of Total Revenue" fld="4" baseField="1" baseItem="0"/>
  </dataFields>
  <formats count="7">
    <format dxfId="54">
      <pivotArea outline="0" collapsedLevelsAreSubtotals="1" fieldPosition="0"/>
    </format>
    <format dxfId="53">
      <pivotArea outline="0" collapsedLevelsAreSubtotals="1" fieldPosition="0"/>
    </format>
    <format dxfId="52">
      <pivotArea dataOnly="0" outline="0" axis="axisValues" fieldPosition="0"/>
    </format>
    <format dxfId="51">
      <pivotArea dataOnly="0" outline="0" axis="axisValues" fieldPosition="0"/>
    </format>
    <format dxfId="50">
      <pivotArea field="1" type="button" dataOnly="0" labelOnly="1" outline="0" axis="axisRow" fieldPosition="0"/>
    </format>
    <format dxfId="49">
      <pivotArea dataOnly="0" labelOnly="1" outline="0" axis="axisValues"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277BB3-F79C-40F5-BB44-6072F12E396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N22" firstHeaderRow="0" firstDataRow="1" firstDataCol="1"/>
  <pivotFields count="7">
    <pivotField axis="axisRow" showAll="0">
      <items count="133">
        <item x="98"/>
        <item x="92"/>
        <item x="100"/>
        <item x="41"/>
        <item x="38"/>
        <item x="117"/>
        <item x="33"/>
        <item x="123"/>
        <item x="83"/>
        <item x="127"/>
        <item x="34"/>
        <item x="50"/>
        <item x="5"/>
        <item x="19"/>
        <item x="107"/>
        <item x="9"/>
        <item x="14"/>
        <item x="76"/>
        <item x="109"/>
        <item x="61"/>
        <item x="120"/>
        <item x="65"/>
        <item x="94"/>
        <item x="7"/>
        <item x="74"/>
        <item x="59"/>
        <item x="16"/>
        <item x="81"/>
        <item x="56"/>
        <item x="99"/>
        <item x="49"/>
        <item x="29"/>
        <item x="101"/>
        <item x="53"/>
        <item x="113"/>
        <item x="68"/>
        <item x="36"/>
        <item x="96"/>
        <item x="95"/>
        <item x="66"/>
        <item x="52"/>
        <item x="80"/>
        <item x="2"/>
        <item x="31"/>
        <item x="70"/>
        <item x="28"/>
        <item x="131"/>
        <item x="8"/>
        <item x="122"/>
        <item x="91"/>
        <item x="88"/>
        <item x="116"/>
        <item x="27"/>
        <item x="79"/>
        <item x="35"/>
        <item x="85"/>
        <item x="22"/>
        <item x="40"/>
        <item x="45"/>
        <item x="20"/>
        <item x="63"/>
        <item x="21"/>
        <item x="102"/>
        <item x="84"/>
        <item x="12"/>
        <item x="124"/>
        <item x="60"/>
        <item x="32"/>
        <item x="48"/>
        <item x="44"/>
        <item x="13"/>
        <item x="26"/>
        <item x="77"/>
        <item x="112"/>
        <item x="0"/>
        <item x="4"/>
        <item x="10"/>
        <item x="47"/>
        <item x="105"/>
        <item x="111"/>
        <item x="87"/>
        <item x="37"/>
        <item x="11"/>
        <item x="103"/>
        <item x="46"/>
        <item x="58"/>
        <item x="125"/>
        <item x="57"/>
        <item x="104"/>
        <item x="78"/>
        <item x="121"/>
        <item x="42"/>
        <item x="6"/>
        <item x="43"/>
        <item x="23"/>
        <item x="3"/>
        <item x="71"/>
        <item x="64"/>
        <item x="73"/>
        <item x="129"/>
        <item x="72"/>
        <item x="24"/>
        <item x="118"/>
        <item x="114"/>
        <item x="69"/>
        <item x="39"/>
        <item x="82"/>
        <item x="126"/>
        <item x="75"/>
        <item x="25"/>
        <item x="15"/>
        <item x="128"/>
        <item x="93"/>
        <item x="51"/>
        <item x="130"/>
        <item x="119"/>
        <item x="89"/>
        <item x="90"/>
        <item x="108"/>
        <item x="1"/>
        <item x="30"/>
        <item x="54"/>
        <item x="110"/>
        <item x="115"/>
        <item x="55"/>
        <item x="17"/>
        <item x="106"/>
        <item x="67"/>
        <item x="86"/>
        <item x="62"/>
        <item x="97"/>
        <item x="18"/>
        <item t="default"/>
      </items>
    </pivotField>
    <pivotField axis="axisRow" showAll="0" sortType="ascending">
      <items count="16">
        <item sd="0" x="12"/>
        <item sd="0" x="1"/>
        <item sd="0" x="13"/>
        <item sd="0" x="2"/>
        <item sd="0" x="7"/>
        <item sd="0" x="0"/>
        <item sd="0" x="9"/>
        <item sd="0" x="3"/>
        <item sd="0" x="6"/>
        <item sd="0" x="8"/>
        <item sd="0" x="4"/>
        <item sd="0" x="10"/>
        <item sd="0" x="11"/>
        <item sd="0" x="5"/>
        <item sd="0" x="14"/>
        <item t="default"/>
      </items>
    </pivotField>
    <pivotField dataField="1" showAll="0"/>
    <pivotField dataField="1" showAll="0"/>
    <pivotField showAll="0"/>
    <pivotField showAll="0"/>
    <pivotField showAll="0"/>
  </pivotFields>
  <rowFields count="2">
    <field x="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Quantity" fld="2" baseField="0" baseItem="0"/>
    <dataField name="Sum of Price" fld="3" baseField="0" baseItem="0" numFmtId="164"/>
  </dataFields>
  <formats count="4">
    <format dxfId="58">
      <pivotArea dataOnly="0" labelOnly="1" outline="0" fieldPosition="0">
        <references count="1">
          <reference field="4294967294" count="1">
            <x v="0"/>
          </reference>
        </references>
      </pivotArea>
    </format>
    <format dxfId="57">
      <pivotArea field="1" type="button" dataOnly="0" labelOnly="1" outline="0" axis="axisRow" fieldPosition="0"/>
    </format>
    <format dxfId="56">
      <pivotArea dataOnly="0" labelOnly="1" outline="0" fieldPosition="0">
        <references count="1">
          <reference field="4294967294" count="2">
            <x v="0"/>
            <x v="1"/>
          </reference>
        </references>
      </pivotArea>
    </format>
    <format dxfId="5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18288F-54E2-46A1-AEC4-D7FEBA26F30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4:K35" firstHeaderRow="1" firstDataRow="1" firstDataCol="1"/>
  <pivotFields count="7">
    <pivotField axis="axisRow" showAll="0">
      <items count="133">
        <item sd="0" x="98"/>
        <item sd="0" x="92"/>
        <item sd="0" x="100"/>
        <item sd="0" x="41"/>
        <item sd="0" x="38"/>
        <item sd="0" x="117"/>
        <item sd="0" x="33"/>
        <item sd="0" x="123"/>
        <item sd="0" x="83"/>
        <item sd="0" x="127"/>
        <item sd="0" x="34"/>
        <item sd="0" x="50"/>
        <item sd="0" x="5"/>
        <item sd="0" x="19"/>
        <item sd="0" x="107"/>
        <item sd="0" x="9"/>
        <item sd="0" x="14"/>
        <item sd="0" x="76"/>
        <item sd="0" x="109"/>
        <item sd="0" x="61"/>
        <item sd="0" x="120"/>
        <item sd="0" x="65"/>
        <item sd="0" x="94"/>
        <item sd="0" x="7"/>
        <item sd="0" x="74"/>
        <item sd="0" x="59"/>
        <item sd="0" x="16"/>
        <item sd="0" x="81"/>
        <item sd="0" x="56"/>
        <item sd="0" x="99"/>
        <item sd="0" x="49"/>
        <item sd="0" x="29"/>
        <item sd="0" x="101"/>
        <item sd="0" x="53"/>
        <item sd="0" x="113"/>
        <item sd="0" x="68"/>
        <item sd="0" x="36"/>
        <item sd="0" x="96"/>
        <item sd="0" x="95"/>
        <item sd="0" x="66"/>
        <item sd="0" x="52"/>
        <item sd="0" x="80"/>
        <item sd="0" x="2"/>
        <item sd="0" x="31"/>
        <item sd="0" x="70"/>
        <item sd="0" x="28"/>
        <item sd="0" x="131"/>
        <item sd="0" x="8"/>
        <item sd="0" x="122"/>
        <item sd="0" x="91"/>
        <item sd="0" x="88"/>
        <item sd="0" x="116"/>
        <item sd="0" x="27"/>
        <item sd="0" x="79"/>
        <item sd="0" x="35"/>
        <item sd="0" x="85"/>
        <item sd="0" x="22"/>
        <item sd="0" x="40"/>
        <item sd="0" x="45"/>
        <item sd="0" x="20"/>
        <item sd="0" x="63"/>
        <item sd="0" x="21"/>
        <item sd="0" x="102"/>
        <item sd="0" x="84"/>
        <item sd="0" x="12"/>
        <item sd="0" x="124"/>
        <item sd="0" x="60"/>
        <item sd="0" x="32"/>
        <item sd="0" x="48"/>
        <item sd="0" x="44"/>
        <item sd="0" x="13"/>
        <item sd="0" x="26"/>
        <item sd="0" x="77"/>
        <item sd="0" x="112"/>
        <item sd="0" x="0"/>
        <item sd="0" x="4"/>
        <item sd="0" x="10"/>
        <item sd="0" x="47"/>
        <item sd="0" x="105"/>
        <item sd="0" x="111"/>
        <item sd="0" x="87"/>
        <item sd="0" x="37"/>
        <item sd="0" x="11"/>
        <item sd="0" x="103"/>
        <item sd="0" x="46"/>
        <item sd="0" x="58"/>
        <item sd="0" x="125"/>
        <item sd="0" x="57"/>
        <item sd="0" x="104"/>
        <item sd="0" x="78"/>
        <item sd="0" x="121"/>
        <item sd="0" x="42"/>
        <item sd="0" x="6"/>
        <item sd="0" x="43"/>
        <item sd="0" x="23"/>
        <item sd="0" x="3"/>
        <item sd="0" x="71"/>
        <item sd="0" x="64"/>
        <item sd="0" x="73"/>
        <item sd="0" x="129"/>
        <item sd="0" x="72"/>
        <item sd="0" x="24"/>
        <item sd="0" x="118"/>
        <item sd="0" x="114"/>
        <item sd="0" x="69"/>
        <item sd="0" x="39"/>
        <item sd="0" x="82"/>
        <item sd="0" x="126"/>
        <item sd="0" x="75"/>
        <item sd="0" x="25"/>
        <item sd="0" x="15"/>
        <item sd="0" x="128"/>
        <item sd="0" x="93"/>
        <item sd="0" x="51"/>
        <item sd="0" x="130"/>
        <item sd="0" x="119"/>
        <item sd="0" x="89"/>
        <item sd="0" x="90"/>
        <item sd="0" x="108"/>
        <item sd="0" x="1"/>
        <item sd="0" x="30"/>
        <item sd="0" x="54"/>
        <item sd="0" x="110"/>
        <item sd="0" x="115"/>
        <item sd="0" x="55"/>
        <item sd="0" x="17"/>
        <item sd="0" x="106"/>
        <item sd="0" x="67"/>
        <item sd="0" x="86"/>
        <item sd="0" x="62"/>
        <item sd="0" x="97"/>
        <item sd="0" x="18"/>
        <item t="default" sd="0"/>
      </items>
    </pivotField>
    <pivotField axis="axisRow" showAll="0">
      <items count="16">
        <item h="1" x="12"/>
        <item x="1"/>
        <item h="1" x="13"/>
        <item h="1" x="2"/>
        <item x="7"/>
        <item h="1" x="0"/>
        <item h="1" x="9"/>
        <item h="1" x="3"/>
        <item x="6"/>
        <item h="1" x="8"/>
        <item h="1" x="4"/>
        <item h="1" x="10"/>
        <item h="1" x="11"/>
        <item h="1" x="5"/>
        <item h="1" x="14"/>
        <item t="default"/>
      </items>
    </pivotField>
    <pivotField showAll="0">
      <items count="6">
        <item h="1" x="1"/>
        <item h="1" x="4"/>
        <item h="1" x="3"/>
        <item x="0"/>
        <item x="2"/>
        <item t="default"/>
      </items>
    </pivotField>
    <pivotField showAll="0"/>
    <pivotField dataField="1" showAll="0"/>
    <pivotField showAll="0"/>
    <pivotField showAll="0"/>
  </pivotFields>
  <rowFields count="2">
    <field x="0"/>
    <field x="1"/>
  </rowFields>
  <rowItems count="31">
    <i>
      <x v="9"/>
    </i>
    <i>
      <x v="11"/>
    </i>
    <i>
      <x v="15"/>
    </i>
    <i>
      <x v="19"/>
    </i>
    <i>
      <x v="20"/>
    </i>
    <i>
      <x v="21"/>
    </i>
    <i>
      <x v="23"/>
    </i>
    <i>
      <x v="24"/>
    </i>
    <i>
      <x v="38"/>
    </i>
    <i>
      <x v="41"/>
    </i>
    <i>
      <x v="42"/>
    </i>
    <i>
      <x v="45"/>
    </i>
    <i>
      <x v="47"/>
    </i>
    <i>
      <x v="53"/>
    </i>
    <i>
      <x v="66"/>
    </i>
    <i>
      <x v="75"/>
    </i>
    <i>
      <x v="76"/>
    </i>
    <i>
      <x v="82"/>
    </i>
    <i>
      <x v="90"/>
    </i>
    <i>
      <x v="96"/>
    </i>
    <i>
      <x v="97"/>
    </i>
    <i>
      <x v="98"/>
    </i>
    <i>
      <x v="102"/>
    </i>
    <i>
      <x v="105"/>
    </i>
    <i>
      <x v="106"/>
    </i>
    <i>
      <x v="117"/>
    </i>
    <i>
      <x v="118"/>
    </i>
    <i>
      <x v="119"/>
    </i>
    <i>
      <x v="124"/>
    </i>
    <i>
      <x v="127"/>
    </i>
    <i t="grand">
      <x/>
    </i>
  </rowItems>
  <colItems count="1">
    <i/>
  </colItems>
  <dataFields count="1">
    <dataField name="Sum of Total Revenue" fld="4" baseField="0" baseItem="0"/>
  </dataFields>
  <formats count="2">
    <format dxfId="25">
      <pivotArea field="0" type="button" dataOnly="0" labelOnly="1" outline="0" axis="axisRow" fieldPosition="0"/>
    </format>
    <format dxfId="24">
      <pivotArea dataOnly="0" labelOnly="1" outline="0" axis="axisValues" fieldPosition="0"/>
    </format>
  </formats>
  <chartFormats count="133">
    <chartFormat chart="8" format="134" series="1">
      <pivotArea type="data" outline="0" fieldPosition="0">
        <references count="1">
          <reference field="4294967294" count="1" selected="0">
            <x v="0"/>
          </reference>
        </references>
      </pivotArea>
    </chartFormat>
    <chartFormat chart="8" format="135">
      <pivotArea type="data" outline="0" fieldPosition="0">
        <references count="2">
          <reference field="4294967294" count="1" selected="0">
            <x v="0"/>
          </reference>
          <reference field="0" count="1" selected="0">
            <x v="0"/>
          </reference>
        </references>
      </pivotArea>
    </chartFormat>
    <chartFormat chart="8" format="136">
      <pivotArea type="data" outline="0" fieldPosition="0">
        <references count="2">
          <reference field="4294967294" count="1" selected="0">
            <x v="0"/>
          </reference>
          <reference field="0" count="1" selected="0">
            <x v="1"/>
          </reference>
        </references>
      </pivotArea>
    </chartFormat>
    <chartFormat chart="8" format="137">
      <pivotArea type="data" outline="0" fieldPosition="0">
        <references count="2">
          <reference field="4294967294" count="1" selected="0">
            <x v="0"/>
          </reference>
          <reference field="0" count="1" selected="0">
            <x v="2"/>
          </reference>
        </references>
      </pivotArea>
    </chartFormat>
    <chartFormat chart="8" format="138">
      <pivotArea type="data" outline="0" fieldPosition="0">
        <references count="2">
          <reference field="4294967294" count="1" selected="0">
            <x v="0"/>
          </reference>
          <reference field="0" count="1" selected="0">
            <x v="3"/>
          </reference>
        </references>
      </pivotArea>
    </chartFormat>
    <chartFormat chart="8" format="139">
      <pivotArea type="data" outline="0" fieldPosition="0">
        <references count="2">
          <reference field="4294967294" count="1" selected="0">
            <x v="0"/>
          </reference>
          <reference field="0" count="1" selected="0">
            <x v="4"/>
          </reference>
        </references>
      </pivotArea>
    </chartFormat>
    <chartFormat chart="8" format="140">
      <pivotArea type="data" outline="0" fieldPosition="0">
        <references count="2">
          <reference field="4294967294" count="1" selected="0">
            <x v="0"/>
          </reference>
          <reference field="0" count="1" selected="0">
            <x v="5"/>
          </reference>
        </references>
      </pivotArea>
    </chartFormat>
    <chartFormat chart="8" format="141">
      <pivotArea type="data" outline="0" fieldPosition="0">
        <references count="2">
          <reference field="4294967294" count="1" selected="0">
            <x v="0"/>
          </reference>
          <reference field="0" count="1" selected="0">
            <x v="6"/>
          </reference>
        </references>
      </pivotArea>
    </chartFormat>
    <chartFormat chart="8" format="142">
      <pivotArea type="data" outline="0" fieldPosition="0">
        <references count="2">
          <reference field="4294967294" count="1" selected="0">
            <x v="0"/>
          </reference>
          <reference field="0" count="1" selected="0">
            <x v="7"/>
          </reference>
        </references>
      </pivotArea>
    </chartFormat>
    <chartFormat chart="8" format="143">
      <pivotArea type="data" outline="0" fieldPosition="0">
        <references count="2">
          <reference field="4294967294" count="1" selected="0">
            <x v="0"/>
          </reference>
          <reference field="0" count="1" selected="0">
            <x v="8"/>
          </reference>
        </references>
      </pivotArea>
    </chartFormat>
    <chartFormat chart="8" format="144">
      <pivotArea type="data" outline="0" fieldPosition="0">
        <references count="2">
          <reference field="4294967294" count="1" selected="0">
            <x v="0"/>
          </reference>
          <reference field="0" count="1" selected="0">
            <x v="9"/>
          </reference>
        </references>
      </pivotArea>
    </chartFormat>
    <chartFormat chart="8" format="145">
      <pivotArea type="data" outline="0" fieldPosition="0">
        <references count="2">
          <reference field="4294967294" count="1" selected="0">
            <x v="0"/>
          </reference>
          <reference field="0" count="1" selected="0">
            <x v="10"/>
          </reference>
        </references>
      </pivotArea>
    </chartFormat>
    <chartFormat chart="8" format="146">
      <pivotArea type="data" outline="0" fieldPosition="0">
        <references count="2">
          <reference field="4294967294" count="1" selected="0">
            <x v="0"/>
          </reference>
          <reference field="0" count="1" selected="0">
            <x v="11"/>
          </reference>
        </references>
      </pivotArea>
    </chartFormat>
    <chartFormat chart="8" format="147">
      <pivotArea type="data" outline="0" fieldPosition="0">
        <references count="2">
          <reference field="4294967294" count="1" selected="0">
            <x v="0"/>
          </reference>
          <reference field="0" count="1" selected="0">
            <x v="12"/>
          </reference>
        </references>
      </pivotArea>
    </chartFormat>
    <chartFormat chart="8" format="148">
      <pivotArea type="data" outline="0" fieldPosition="0">
        <references count="2">
          <reference field="4294967294" count="1" selected="0">
            <x v="0"/>
          </reference>
          <reference field="0" count="1" selected="0">
            <x v="13"/>
          </reference>
        </references>
      </pivotArea>
    </chartFormat>
    <chartFormat chart="8" format="149">
      <pivotArea type="data" outline="0" fieldPosition="0">
        <references count="2">
          <reference field="4294967294" count="1" selected="0">
            <x v="0"/>
          </reference>
          <reference field="0" count="1" selected="0">
            <x v="14"/>
          </reference>
        </references>
      </pivotArea>
    </chartFormat>
    <chartFormat chart="8" format="150">
      <pivotArea type="data" outline="0" fieldPosition="0">
        <references count="2">
          <reference field="4294967294" count="1" selected="0">
            <x v="0"/>
          </reference>
          <reference field="0" count="1" selected="0">
            <x v="15"/>
          </reference>
        </references>
      </pivotArea>
    </chartFormat>
    <chartFormat chart="8" format="151">
      <pivotArea type="data" outline="0" fieldPosition="0">
        <references count="2">
          <reference field="4294967294" count="1" selected="0">
            <x v="0"/>
          </reference>
          <reference field="0" count="1" selected="0">
            <x v="16"/>
          </reference>
        </references>
      </pivotArea>
    </chartFormat>
    <chartFormat chart="8" format="152">
      <pivotArea type="data" outline="0" fieldPosition="0">
        <references count="2">
          <reference field="4294967294" count="1" selected="0">
            <x v="0"/>
          </reference>
          <reference field="0" count="1" selected="0">
            <x v="17"/>
          </reference>
        </references>
      </pivotArea>
    </chartFormat>
    <chartFormat chart="8" format="153">
      <pivotArea type="data" outline="0" fieldPosition="0">
        <references count="2">
          <reference field="4294967294" count="1" selected="0">
            <x v="0"/>
          </reference>
          <reference field="0" count="1" selected="0">
            <x v="18"/>
          </reference>
        </references>
      </pivotArea>
    </chartFormat>
    <chartFormat chart="8" format="154">
      <pivotArea type="data" outline="0" fieldPosition="0">
        <references count="2">
          <reference field="4294967294" count="1" selected="0">
            <x v="0"/>
          </reference>
          <reference field="0" count="1" selected="0">
            <x v="19"/>
          </reference>
        </references>
      </pivotArea>
    </chartFormat>
    <chartFormat chart="8" format="155">
      <pivotArea type="data" outline="0" fieldPosition="0">
        <references count="2">
          <reference field="4294967294" count="1" selected="0">
            <x v="0"/>
          </reference>
          <reference field="0" count="1" selected="0">
            <x v="20"/>
          </reference>
        </references>
      </pivotArea>
    </chartFormat>
    <chartFormat chart="8" format="156">
      <pivotArea type="data" outline="0" fieldPosition="0">
        <references count="2">
          <reference field="4294967294" count="1" selected="0">
            <x v="0"/>
          </reference>
          <reference field="0" count="1" selected="0">
            <x v="21"/>
          </reference>
        </references>
      </pivotArea>
    </chartFormat>
    <chartFormat chart="8" format="157">
      <pivotArea type="data" outline="0" fieldPosition="0">
        <references count="2">
          <reference field="4294967294" count="1" selected="0">
            <x v="0"/>
          </reference>
          <reference field="0" count="1" selected="0">
            <x v="22"/>
          </reference>
        </references>
      </pivotArea>
    </chartFormat>
    <chartFormat chart="8" format="158">
      <pivotArea type="data" outline="0" fieldPosition="0">
        <references count="2">
          <reference field="4294967294" count="1" selected="0">
            <x v="0"/>
          </reference>
          <reference field="0" count="1" selected="0">
            <x v="23"/>
          </reference>
        </references>
      </pivotArea>
    </chartFormat>
    <chartFormat chart="8" format="159">
      <pivotArea type="data" outline="0" fieldPosition="0">
        <references count="2">
          <reference field="4294967294" count="1" selected="0">
            <x v="0"/>
          </reference>
          <reference field="0" count="1" selected="0">
            <x v="24"/>
          </reference>
        </references>
      </pivotArea>
    </chartFormat>
    <chartFormat chart="8" format="160">
      <pivotArea type="data" outline="0" fieldPosition="0">
        <references count="2">
          <reference field="4294967294" count="1" selected="0">
            <x v="0"/>
          </reference>
          <reference field="0" count="1" selected="0">
            <x v="25"/>
          </reference>
        </references>
      </pivotArea>
    </chartFormat>
    <chartFormat chart="8" format="161">
      <pivotArea type="data" outline="0" fieldPosition="0">
        <references count="2">
          <reference field="4294967294" count="1" selected="0">
            <x v="0"/>
          </reference>
          <reference field="0" count="1" selected="0">
            <x v="26"/>
          </reference>
        </references>
      </pivotArea>
    </chartFormat>
    <chartFormat chart="8" format="162">
      <pivotArea type="data" outline="0" fieldPosition="0">
        <references count="2">
          <reference field="4294967294" count="1" selected="0">
            <x v="0"/>
          </reference>
          <reference field="0" count="1" selected="0">
            <x v="27"/>
          </reference>
        </references>
      </pivotArea>
    </chartFormat>
    <chartFormat chart="8" format="163">
      <pivotArea type="data" outline="0" fieldPosition="0">
        <references count="2">
          <reference field="4294967294" count="1" selected="0">
            <x v="0"/>
          </reference>
          <reference field="0" count="1" selected="0">
            <x v="28"/>
          </reference>
        </references>
      </pivotArea>
    </chartFormat>
    <chartFormat chart="8" format="164">
      <pivotArea type="data" outline="0" fieldPosition="0">
        <references count="2">
          <reference field="4294967294" count="1" selected="0">
            <x v="0"/>
          </reference>
          <reference field="0" count="1" selected="0">
            <x v="29"/>
          </reference>
        </references>
      </pivotArea>
    </chartFormat>
    <chartFormat chart="8" format="165">
      <pivotArea type="data" outline="0" fieldPosition="0">
        <references count="2">
          <reference field="4294967294" count="1" selected="0">
            <x v="0"/>
          </reference>
          <reference field="0" count="1" selected="0">
            <x v="30"/>
          </reference>
        </references>
      </pivotArea>
    </chartFormat>
    <chartFormat chart="8" format="166">
      <pivotArea type="data" outline="0" fieldPosition="0">
        <references count="2">
          <reference field="4294967294" count="1" selected="0">
            <x v="0"/>
          </reference>
          <reference field="0" count="1" selected="0">
            <x v="31"/>
          </reference>
        </references>
      </pivotArea>
    </chartFormat>
    <chartFormat chart="8" format="167">
      <pivotArea type="data" outline="0" fieldPosition="0">
        <references count="2">
          <reference field="4294967294" count="1" selected="0">
            <x v="0"/>
          </reference>
          <reference field="0" count="1" selected="0">
            <x v="32"/>
          </reference>
        </references>
      </pivotArea>
    </chartFormat>
    <chartFormat chart="8" format="168">
      <pivotArea type="data" outline="0" fieldPosition="0">
        <references count="2">
          <reference field="4294967294" count="1" selected="0">
            <x v="0"/>
          </reference>
          <reference field="0" count="1" selected="0">
            <x v="33"/>
          </reference>
        </references>
      </pivotArea>
    </chartFormat>
    <chartFormat chart="8" format="169">
      <pivotArea type="data" outline="0" fieldPosition="0">
        <references count="2">
          <reference field="4294967294" count="1" selected="0">
            <x v="0"/>
          </reference>
          <reference field="0" count="1" selected="0">
            <x v="34"/>
          </reference>
        </references>
      </pivotArea>
    </chartFormat>
    <chartFormat chart="8" format="170">
      <pivotArea type="data" outline="0" fieldPosition="0">
        <references count="2">
          <reference field="4294967294" count="1" selected="0">
            <x v="0"/>
          </reference>
          <reference field="0" count="1" selected="0">
            <x v="35"/>
          </reference>
        </references>
      </pivotArea>
    </chartFormat>
    <chartFormat chart="8" format="171">
      <pivotArea type="data" outline="0" fieldPosition="0">
        <references count="2">
          <reference field="4294967294" count="1" selected="0">
            <x v="0"/>
          </reference>
          <reference field="0" count="1" selected="0">
            <x v="36"/>
          </reference>
        </references>
      </pivotArea>
    </chartFormat>
    <chartFormat chart="8" format="172">
      <pivotArea type="data" outline="0" fieldPosition="0">
        <references count="2">
          <reference field="4294967294" count="1" selected="0">
            <x v="0"/>
          </reference>
          <reference field="0" count="1" selected="0">
            <x v="37"/>
          </reference>
        </references>
      </pivotArea>
    </chartFormat>
    <chartFormat chart="8" format="173">
      <pivotArea type="data" outline="0" fieldPosition="0">
        <references count="2">
          <reference field="4294967294" count="1" selected="0">
            <x v="0"/>
          </reference>
          <reference field="0" count="1" selected="0">
            <x v="38"/>
          </reference>
        </references>
      </pivotArea>
    </chartFormat>
    <chartFormat chart="8" format="174">
      <pivotArea type="data" outline="0" fieldPosition="0">
        <references count="2">
          <reference field="4294967294" count="1" selected="0">
            <x v="0"/>
          </reference>
          <reference field="0" count="1" selected="0">
            <x v="39"/>
          </reference>
        </references>
      </pivotArea>
    </chartFormat>
    <chartFormat chart="8" format="175">
      <pivotArea type="data" outline="0" fieldPosition="0">
        <references count="2">
          <reference field="4294967294" count="1" selected="0">
            <x v="0"/>
          </reference>
          <reference field="0" count="1" selected="0">
            <x v="40"/>
          </reference>
        </references>
      </pivotArea>
    </chartFormat>
    <chartFormat chart="8" format="176">
      <pivotArea type="data" outline="0" fieldPosition="0">
        <references count="2">
          <reference field="4294967294" count="1" selected="0">
            <x v="0"/>
          </reference>
          <reference field="0" count="1" selected="0">
            <x v="41"/>
          </reference>
        </references>
      </pivotArea>
    </chartFormat>
    <chartFormat chart="8" format="177">
      <pivotArea type="data" outline="0" fieldPosition="0">
        <references count="2">
          <reference field="4294967294" count="1" selected="0">
            <x v="0"/>
          </reference>
          <reference field="0" count="1" selected="0">
            <x v="42"/>
          </reference>
        </references>
      </pivotArea>
    </chartFormat>
    <chartFormat chart="8" format="178">
      <pivotArea type="data" outline="0" fieldPosition="0">
        <references count="2">
          <reference field="4294967294" count="1" selected="0">
            <x v="0"/>
          </reference>
          <reference field="0" count="1" selected="0">
            <x v="43"/>
          </reference>
        </references>
      </pivotArea>
    </chartFormat>
    <chartFormat chart="8" format="179">
      <pivotArea type="data" outline="0" fieldPosition="0">
        <references count="2">
          <reference field="4294967294" count="1" selected="0">
            <x v="0"/>
          </reference>
          <reference field="0" count="1" selected="0">
            <x v="44"/>
          </reference>
        </references>
      </pivotArea>
    </chartFormat>
    <chartFormat chart="8" format="180">
      <pivotArea type="data" outline="0" fieldPosition="0">
        <references count="2">
          <reference field="4294967294" count="1" selected="0">
            <x v="0"/>
          </reference>
          <reference field="0" count="1" selected="0">
            <x v="45"/>
          </reference>
        </references>
      </pivotArea>
    </chartFormat>
    <chartFormat chart="8" format="181">
      <pivotArea type="data" outline="0" fieldPosition="0">
        <references count="2">
          <reference field="4294967294" count="1" selected="0">
            <x v="0"/>
          </reference>
          <reference field="0" count="1" selected="0">
            <x v="46"/>
          </reference>
        </references>
      </pivotArea>
    </chartFormat>
    <chartFormat chart="8" format="182">
      <pivotArea type="data" outline="0" fieldPosition="0">
        <references count="2">
          <reference field="4294967294" count="1" selected="0">
            <x v="0"/>
          </reference>
          <reference field="0" count="1" selected="0">
            <x v="47"/>
          </reference>
        </references>
      </pivotArea>
    </chartFormat>
    <chartFormat chart="8" format="183">
      <pivotArea type="data" outline="0" fieldPosition="0">
        <references count="2">
          <reference field="4294967294" count="1" selected="0">
            <x v="0"/>
          </reference>
          <reference field="0" count="1" selected="0">
            <x v="48"/>
          </reference>
        </references>
      </pivotArea>
    </chartFormat>
    <chartFormat chart="8" format="184">
      <pivotArea type="data" outline="0" fieldPosition="0">
        <references count="2">
          <reference field="4294967294" count="1" selected="0">
            <x v="0"/>
          </reference>
          <reference field="0" count="1" selected="0">
            <x v="49"/>
          </reference>
        </references>
      </pivotArea>
    </chartFormat>
    <chartFormat chart="8" format="185">
      <pivotArea type="data" outline="0" fieldPosition="0">
        <references count="2">
          <reference field="4294967294" count="1" selected="0">
            <x v="0"/>
          </reference>
          <reference field="0" count="1" selected="0">
            <x v="50"/>
          </reference>
        </references>
      </pivotArea>
    </chartFormat>
    <chartFormat chart="8" format="186">
      <pivotArea type="data" outline="0" fieldPosition="0">
        <references count="2">
          <reference field="4294967294" count="1" selected="0">
            <x v="0"/>
          </reference>
          <reference field="0" count="1" selected="0">
            <x v="51"/>
          </reference>
        </references>
      </pivotArea>
    </chartFormat>
    <chartFormat chart="8" format="187">
      <pivotArea type="data" outline="0" fieldPosition="0">
        <references count="2">
          <reference field="4294967294" count="1" selected="0">
            <x v="0"/>
          </reference>
          <reference field="0" count="1" selected="0">
            <x v="52"/>
          </reference>
        </references>
      </pivotArea>
    </chartFormat>
    <chartFormat chart="8" format="188">
      <pivotArea type="data" outline="0" fieldPosition="0">
        <references count="2">
          <reference field="4294967294" count="1" selected="0">
            <x v="0"/>
          </reference>
          <reference field="0" count="1" selected="0">
            <x v="53"/>
          </reference>
        </references>
      </pivotArea>
    </chartFormat>
    <chartFormat chart="8" format="189">
      <pivotArea type="data" outline="0" fieldPosition="0">
        <references count="2">
          <reference field="4294967294" count="1" selected="0">
            <x v="0"/>
          </reference>
          <reference field="0" count="1" selected="0">
            <x v="54"/>
          </reference>
        </references>
      </pivotArea>
    </chartFormat>
    <chartFormat chart="8" format="190">
      <pivotArea type="data" outline="0" fieldPosition="0">
        <references count="2">
          <reference field="4294967294" count="1" selected="0">
            <x v="0"/>
          </reference>
          <reference field="0" count="1" selected="0">
            <x v="55"/>
          </reference>
        </references>
      </pivotArea>
    </chartFormat>
    <chartFormat chart="8" format="191">
      <pivotArea type="data" outline="0" fieldPosition="0">
        <references count="2">
          <reference field="4294967294" count="1" selected="0">
            <x v="0"/>
          </reference>
          <reference field="0" count="1" selected="0">
            <x v="56"/>
          </reference>
        </references>
      </pivotArea>
    </chartFormat>
    <chartFormat chart="8" format="192">
      <pivotArea type="data" outline="0" fieldPosition="0">
        <references count="2">
          <reference field="4294967294" count="1" selected="0">
            <x v="0"/>
          </reference>
          <reference field="0" count="1" selected="0">
            <x v="57"/>
          </reference>
        </references>
      </pivotArea>
    </chartFormat>
    <chartFormat chart="8" format="193">
      <pivotArea type="data" outline="0" fieldPosition="0">
        <references count="2">
          <reference field="4294967294" count="1" selected="0">
            <x v="0"/>
          </reference>
          <reference field="0" count="1" selected="0">
            <x v="58"/>
          </reference>
        </references>
      </pivotArea>
    </chartFormat>
    <chartFormat chart="8" format="194">
      <pivotArea type="data" outline="0" fieldPosition="0">
        <references count="2">
          <reference field="4294967294" count="1" selected="0">
            <x v="0"/>
          </reference>
          <reference field="0" count="1" selected="0">
            <x v="59"/>
          </reference>
        </references>
      </pivotArea>
    </chartFormat>
    <chartFormat chart="8" format="195">
      <pivotArea type="data" outline="0" fieldPosition="0">
        <references count="2">
          <reference field="4294967294" count="1" selected="0">
            <x v="0"/>
          </reference>
          <reference field="0" count="1" selected="0">
            <x v="60"/>
          </reference>
        </references>
      </pivotArea>
    </chartFormat>
    <chartFormat chart="8" format="196">
      <pivotArea type="data" outline="0" fieldPosition="0">
        <references count="2">
          <reference field="4294967294" count="1" selected="0">
            <x v="0"/>
          </reference>
          <reference field="0" count="1" selected="0">
            <x v="61"/>
          </reference>
        </references>
      </pivotArea>
    </chartFormat>
    <chartFormat chart="8" format="197">
      <pivotArea type="data" outline="0" fieldPosition="0">
        <references count="2">
          <reference field="4294967294" count="1" selected="0">
            <x v="0"/>
          </reference>
          <reference field="0" count="1" selected="0">
            <x v="62"/>
          </reference>
        </references>
      </pivotArea>
    </chartFormat>
    <chartFormat chart="8" format="198">
      <pivotArea type="data" outline="0" fieldPosition="0">
        <references count="2">
          <reference field="4294967294" count="1" selected="0">
            <x v="0"/>
          </reference>
          <reference field="0" count="1" selected="0">
            <x v="63"/>
          </reference>
        </references>
      </pivotArea>
    </chartFormat>
    <chartFormat chart="8" format="199">
      <pivotArea type="data" outline="0" fieldPosition="0">
        <references count="2">
          <reference field="4294967294" count="1" selected="0">
            <x v="0"/>
          </reference>
          <reference field="0" count="1" selected="0">
            <x v="64"/>
          </reference>
        </references>
      </pivotArea>
    </chartFormat>
    <chartFormat chart="8" format="200">
      <pivotArea type="data" outline="0" fieldPosition="0">
        <references count="2">
          <reference field="4294967294" count="1" selected="0">
            <x v="0"/>
          </reference>
          <reference field="0" count="1" selected="0">
            <x v="65"/>
          </reference>
        </references>
      </pivotArea>
    </chartFormat>
    <chartFormat chart="8" format="201">
      <pivotArea type="data" outline="0" fieldPosition="0">
        <references count="2">
          <reference field="4294967294" count="1" selected="0">
            <x v="0"/>
          </reference>
          <reference field="0" count="1" selected="0">
            <x v="66"/>
          </reference>
        </references>
      </pivotArea>
    </chartFormat>
    <chartFormat chart="8" format="202">
      <pivotArea type="data" outline="0" fieldPosition="0">
        <references count="2">
          <reference field="4294967294" count="1" selected="0">
            <x v="0"/>
          </reference>
          <reference field="0" count="1" selected="0">
            <x v="67"/>
          </reference>
        </references>
      </pivotArea>
    </chartFormat>
    <chartFormat chart="8" format="203">
      <pivotArea type="data" outline="0" fieldPosition="0">
        <references count="2">
          <reference field="4294967294" count="1" selected="0">
            <x v="0"/>
          </reference>
          <reference field="0" count="1" selected="0">
            <x v="68"/>
          </reference>
        </references>
      </pivotArea>
    </chartFormat>
    <chartFormat chart="8" format="204">
      <pivotArea type="data" outline="0" fieldPosition="0">
        <references count="2">
          <reference field="4294967294" count="1" selected="0">
            <x v="0"/>
          </reference>
          <reference field="0" count="1" selected="0">
            <x v="69"/>
          </reference>
        </references>
      </pivotArea>
    </chartFormat>
    <chartFormat chart="8" format="205">
      <pivotArea type="data" outline="0" fieldPosition="0">
        <references count="2">
          <reference field="4294967294" count="1" selected="0">
            <x v="0"/>
          </reference>
          <reference field="0" count="1" selected="0">
            <x v="70"/>
          </reference>
        </references>
      </pivotArea>
    </chartFormat>
    <chartFormat chart="8" format="206">
      <pivotArea type="data" outline="0" fieldPosition="0">
        <references count="2">
          <reference field="4294967294" count="1" selected="0">
            <x v="0"/>
          </reference>
          <reference field="0" count="1" selected="0">
            <x v="71"/>
          </reference>
        </references>
      </pivotArea>
    </chartFormat>
    <chartFormat chart="8" format="207">
      <pivotArea type="data" outline="0" fieldPosition="0">
        <references count="2">
          <reference field="4294967294" count="1" selected="0">
            <x v="0"/>
          </reference>
          <reference field="0" count="1" selected="0">
            <x v="72"/>
          </reference>
        </references>
      </pivotArea>
    </chartFormat>
    <chartFormat chart="8" format="208">
      <pivotArea type="data" outline="0" fieldPosition="0">
        <references count="2">
          <reference field="4294967294" count="1" selected="0">
            <x v="0"/>
          </reference>
          <reference field="0" count="1" selected="0">
            <x v="73"/>
          </reference>
        </references>
      </pivotArea>
    </chartFormat>
    <chartFormat chart="8" format="209">
      <pivotArea type="data" outline="0" fieldPosition="0">
        <references count="2">
          <reference field="4294967294" count="1" selected="0">
            <x v="0"/>
          </reference>
          <reference field="0" count="1" selected="0">
            <x v="74"/>
          </reference>
        </references>
      </pivotArea>
    </chartFormat>
    <chartFormat chart="8" format="210">
      <pivotArea type="data" outline="0" fieldPosition="0">
        <references count="2">
          <reference field="4294967294" count="1" selected="0">
            <x v="0"/>
          </reference>
          <reference field="0" count="1" selected="0">
            <x v="75"/>
          </reference>
        </references>
      </pivotArea>
    </chartFormat>
    <chartFormat chart="8" format="211">
      <pivotArea type="data" outline="0" fieldPosition="0">
        <references count="2">
          <reference field="4294967294" count="1" selected="0">
            <x v="0"/>
          </reference>
          <reference field="0" count="1" selected="0">
            <x v="76"/>
          </reference>
        </references>
      </pivotArea>
    </chartFormat>
    <chartFormat chart="8" format="212">
      <pivotArea type="data" outline="0" fieldPosition="0">
        <references count="2">
          <reference field="4294967294" count="1" selected="0">
            <x v="0"/>
          </reference>
          <reference field="0" count="1" selected="0">
            <x v="77"/>
          </reference>
        </references>
      </pivotArea>
    </chartFormat>
    <chartFormat chart="8" format="213">
      <pivotArea type="data" outline="0" fieldPosition="0">
        <references count="2">
          <reference field="4294967294" count="1" selected="0">
            <x v="0"/>
          </reference>
          <reference field="0" count="1" selected="0">
            <x v="78"/>
          </reference>
        </references>
      </pivotArea>
    </chartFormat>
    <chartFormat chart="8" format="214">
      <pivotArea type="data" outline="0" fieldPosition="0">
        <references count="2">
          <reference field="4294967294" count="1" selected="0">
            <x v="0"/>
          </reference>
          <reference field="0" count="1" selected="0">
            <x v="79"/>
          </reference>
        </references>
      </pivotArea>
    </chartFormat>
    <chartFormat chart="8" format="215">
      <pivotArea type="data" outline="0" fieldPosition="0">
        <references count="2">
          <reference field="4294967294" count="1" selected="0">
            <x v="0"/>
          </reference>
          <reference field="0" count="1" selected="0">
            <x v="80"/>
          </reference>
        </references>
      </pivotArea>
    </chartFormat>
    <chartFormat chart="8" format="216">
      <pivotArea type="data" outline="0" fieldPosition="0">
        <references count="2">
          <reference field="4294967294" count="1" selected="0">
            <x v="0"/>
          </reference>
          <reference field="0" count="1" selected="0">
            <x v="81"/>
          </reference>
        </references>
      </pivotArea>
    </chartFormat>
    <chartFormat chart="8" format="217">
      <pivotArea type="data" outline="0" fieldPosition="0">
        <references count="2">
          <reference field="4294967294" count="1" selected="0">
            <x v="0"/>
          </reference>
          <reference field="0" count="1" selected="0">
            <x v="82"/>
          </reference>
        </references>
      </pivotArea>
    </chartFormat>
    <chartFormat chart="8" format="218">
      <pivotArea type="data" outline="0" fieldPosition="0">
        <references count="2">
          <reference field="4294967294" count="1" selected="0">
            <x v="0"/>
          </reference>
          <reference field="0" count="1" selected="0">
            <x v="83"/>
          </reference>
        </references>
      </pivotArea>
    </chartFormat>
    <chartFormat chart="8" format="219">
      <pivotArea type="data" outline="0" fieldPosition="0">
        <references count="2">
          <reference field="4294967294" count="1" selected="0">
            <x v="0"/>
          </reference>
          <reference field="0" count="1" selected="0">
            <x v="84"/>
          </reference>
        </references>
      </pivotArea>
    </chartFormat>
    <chartFormat chart="8" format="220">
      <pivotArea type="data" outline="0" fieldPosition="0">
        <references count="2">
          <reference field="4294967294" count="1" selected="0">
            <x v="0"/>
          </reference>
          <reference field="0" count="1" selected="0">
            <x v="85"/>
          </reference>
        </references>
      </pivotArea>
    </chartFormat>
    <chartFormat chart="8" format="221">
      <pivotArea type="data" outline="0" fieldPosition="0">
        <references count="2">
          <reference field="4294967294" count="1" selected="0">
            <x v="0"/>
          </reference>
          <reference field="0" count="1" selected="0">
            <x v="86"/>
          </reference>
        </references>
      </pivotArea>
    </chartFormat>
    <chartFormat chart="8" format="222">
      <pivotArea type="data" outline="0" fieldPosition="0">
        <references count="2">
          <reference field="4294967294" count="1" selected="0">
            <x v="0"/>
          </reference>
          <reference field="0" count="1" selected="0">
            <x v="87"/>
          </reference>
        </references>
      </pivotArea>
    </chartFormat>
    <chartFormat chart="8" format="223">
      <pivotArea type="data" outline="0" fieldPosition="0">
        <references count="2">
          <reference field="4294967294" count="1" selected="0">
            <x v="0"/>
          </reference>
          <reference field="0" count="1" selected="0">
            <x v="88"/>
          </reference>
        </references>
      </pivotArea>
    </chartFormat>
    <chartFormat chart="8" format="224">
      <pivotArea type="data" outline="0" fieldPosition="0">
        <references count="2">
          <reference field="4294967294" count="1" selected="0">
            <x v="0"/>
          </reference>
          <reference field="0" count="1" selected="0">
            <x v="89"/>
          </reference>
        </references>
      </pivotArea>
    </chartFormat>
    <chartFormat chart="8" format="225">
      <pivotArea type="data" outline="0" fieldPosition="0">
        <references count="2">
          <reference field="4294967294" count="1" selected="0">
            <x v="0"/>
          </reference>
          <reference field="0" count="1" selected="0">
            <x v="90"/>
          </reference>
        </references>
      </pivotArea>
    </chartFormat>
    <chartFormat chart="8" format="226">
      <pivotArea type="data" outline="0" fieldPosition="0">
        <references count="2">
          <reference field="4294967294" count="1" selected="0">
            <x v="0"/>
          </reference>
          <reference field="0" count="1" selected="0">
            <x v="91"/>
          </reference>
        </references>
      </pivotArea>
    </chartFormat>
    <chartFormat chart="8" format="227">
      <pivotArea type="data" outline="0" fieldPosition="0">
        <references count="2">
          <reference field="4294967294" count="1" selected="0">
            <x v="0"/>
          </reference>
          <reference field="0" count="1" selected="0">
            <x v="92"/>
          </reference>
        </references>
      </pivotArea>
    </chartFormat>
    <chartFormat chart="8" format="228">
      <pivotArea type="data" outline="0" fieldPosition="0">
        <references count="2">
          <reference field="4294967294" count="1" selected="0">
            <x v="0"/>
          </reference>
          <reference field="0" count="1" selected="0">
            <x v="93"/>
          </reference>
        </references>
      </pivotArea>
    </chartFormat>
    <chartFormat chart="8" format="229">
      <pivotArea type="data" outline="0" fieldPosition="0">
        <references count="2">
          <reference field="4294967294" count="1" selected="0">
            <x v="0"/>
          </reference>
          <reference field="0" count="1" selected="0">
            <x v="94"/>
          </reference>
        </references>
      </pivotArea>
    </chartFormat>
    <chartFormat chart="8" format="230">
      <pivotArea type="data" outline="0" fieldPosition="0">
        <references count="2">
          <reference field="4294967294" count="1" selected="0">
            <x v="0"/>
          </reference>
          <reference field="0" count="1" selected="0">
            <x v="95"/>
          </reference>
        </references>
      </pivotArea>
    </chartFormat>
    <chartFormat chart="8" format="231">
      <pivotArea type="data" outline="0" fieldPosition="0">
        <references count="2">
          <reference field="4294967294" count="1" selected="0">
            <x v="0"/>
          </reference>
          <reference field="0" count="1" selected="0">
            <x v="96"/>
          </reference>
        </references>
      </pivotArea>
    </chartFormat>
    <chartFormat chart="8" format="232">
      <pivotArea type="data" outline="0" fieldPosition="0">
        <references count="2">
          <reference field="4294967294" count="1" selected="0">
            <x v="0"/>
          </reference>
          <reference field="0" count="1" selected="0">
            <x v="97"/>
          </reference>
        </references>
      </pivotArea>
    </chartFormat>
    <chartFormat chart="8" format="233">
      <pivotArea type="data" outline="0" fieldPosition="0">
        <references count="2">
          <reference field="4294967294" count="1" selected="0">
            <x v="0"/>
          </reference>
          <reference field="0" count="1" selected="0">
            <x v="98"/>
          </reference>
        </references>
      </pivotArea>
    </chartFormat>
    <chartFormat chart="8" format="234">
      <pivotArea type="data" outline="0" fieldPosition="0">
        <references count="2">
          <reference field="4294967294" count="1" selected="0">
            <x v="0"/>
          </reference>
          <reference field="0" count="1" selected="0">
            <x v="99"/>
          </reference>
        </references>
      </pivotArea>
    </chartFormat>
    <chartFormat chart="8" format="235">
      <pivotArea type="data" outline="0" fieldPosition="0">
        <references count="2">
          <reference field="4294967294" count="1" selected="0">
            <x v="0"/>
          </reference>
          <reference field="0" count="1" selected="0">
            <x v="100"/>
          </reference>
        </references>
      </pivotArea>
    </chartFormat>
    <chartFormat chart="8" format="236">
      <pivotArea type="data" outline="0" fieldPosition="0">
        <references count="2">
          <reference field="4294967294" count="1" selected="0">
            <x v="0"/>
          </reference>
          <reference field="0" count="1" selected="0">
            <x v="101"/>
          </reference>
        </references>
      </pivotArea>
    </chartFormat>
    <chartFormat chart="8" format="237">
      <pivotArea type="data" outline="0" fieldPosition="0">
        <references count="2">
          <reference field="4294967294" count="1" selected="0">
            <x v="0"/>
          </reference>
          <reference field="0" count="1" selected="0">
            <x v="102"/>
          </reference>
        </references>
      </pivotArea>
    </chartFormat>
    <chartFormat chart="8" format="238">
      <pivotArea type="data" outline="0" fieldPosition="0">
        <references count="2">
          <reference field="4294967294" count="1" selected="0">
            <x v="0"/>
          </reference>
          <reference field="0" count="1" selected="0">
            <x v="103"/>
          </reference>
        </references>
      </pivotArea>
    </chartFormat>
    <chartFormat chart="8" format="239">
      <pivotArea type="data" outline="0" fieldPosition="0">
        <references count="2">
          <reference field="4294967294" count="1" selected="0">
            <x v="0"/>
          </reference>
          <reference field="0" count="1" selected="0">
            <x v="104"/>
          </reference>
        </references>
      </pivotArea>
    </chartFormat>
    <chartFormat chart="8" format="240">
      <pivotArea type="data" outline="0" fieldPosition="0">
        <references count="2">
          <reference field="4294967294" count="1" selected="0">
            <x v="0"/>
          </reference>
          <reference field="0" count="1" selected="0">
            <x v="105"/>
          </reference>
        </references>
      </pivotArea>
    </chartFormat>
    <chartFormat chart="8" format="241">
      <pivotArea type="data" outline="0" fieldPosition="0">
        <references count="2">
          <reference field="4294967294" count="1" selected="0">
            <x v="0"/>
          </reference>
          <reference field="0" count="1" selected="0">
            <x v="106"/>
          </reference>
        </references>
      </pivotArea>
    </chartFormat>
    <chartFormat chart="8" format="242">
      <pivotArea type="data" outline="0" fieldPosition="0">
        <references count="2">
          <reference field="4294967294" count="1" selected="0">
            <x v="0"/>
          </reference>
          <reference field="0" count="1" selected="0">
            <x v="107"/>
          </reference>
        </references>
      </pivotArea>
    </chartFormat>
    <chartFormat chart="8" format="243">
      <pivotArea type="data" outline="0" fieldPosition="0">
        <references count="2">
          <reference field="4294967294" count="1" selected="0">
            <x v="0"/>
          </reference>
          <reference field="0" count="1" selected="0">
            <x v="108"/>
          </reference>
        </references>
      </pivotArea>
    </chartFormat>
    <chartFormat chart="8" format="244">
      <pivotArea type="data" outline="0" fieldPosition="0">
        <references count="2">
          <reference field="4294967294" count="1" selected="0">
            <x v="0"/>
          </reference>
          <reference field="0" count="1" selected="0">
            <x v="109"/>
          </reference>
        </references>
      </pivotArea>
    </chartFormat>
    <chartFormat chart="8" format="245">
      <pivotArea type="data" outline="0" fieldPosition="0">
        <references count="2">
          <reference field="4294967294" count="1" selected="0">
            <x v="0"/>
          </reference>
          <reference field="0" count="1" selected="0">
            <x v="110"/>
          </reference>
        </references>
      </pivotArea>
    </chartFormat>
    <chartFormat chart="8" format="246">
      <pivotArea type="data" outline="0" fieldPosition="0">
        <references count="2">
          <reference field="4294967294" count="1" selected="0">
            <x v="0"/>
          </reference>
          <reference field="0" count="1" selected="0">
            <x v="111"/>
          </reference>
        </references>
      </pivotArea>
    </chartFormat>
    <chartFormat chart="8" format="247">
      <pivotArea type="data" outline="0" fieldPosition="0">
        <references count="2">
          <reference field="4294967294" count="1" selected="0">
            <x v="0"/>
          </reference>
          <reference field="0" count="1" selected="0">
            <x v="112"/>
          </reference>
        </references>
      </pivotArea>
    </chartFormat>
    <chartFormat chart="8" format="248">
      <pivotArea type="data" outline="0" fieldPosition="0">
        <references count="2">
          <reference field="4294967294" count="1" selected="0">
            <x v="0"/>
          </reference>
          <reference field="0" count="1" selected="0">
            <x v="113"/>
          </reference>
        </references>
      </pivotArea>
    </chartFormat>
    <chartFormat chart="8" format="249">
      <pivotArea type="data" outline="0" fieldPosition="0">
        <references count="2">
          <reference field="4294967294" count="1" selected="0">
            <x v="0"/>
          </reference>
          <reference field="0" count="1" selected="0">
            <x v="114"/>
          </reference>
        </references>
      </pivotArea>
    </chartFormat>
    <chartFormat chart="8" format="250">
      <pivotArea type="data" outline="0" fieldPosition="0">
        <references count="2">
          <reference field="4294967294" count="1" selected="0">
            <x v="0"/>
          </reference>
          <reference field="0" count="1" selected="0">
            <x v="115"/>
          </reference>
        </references>
      </pivotArea>
    </chartFormat>
    <chartFormat chart="8" format="251">
      <pivotArea type="data" outline="0" fieldPosition="0">
        <references count="2">
          <reference field="4294967294" count="1" selected="0">
            <x v="0"/>
          </reference>
          <reference field="0" count="1" selected="0">
            <x v="116"/>
          </reference>
        </references>
      </pivotArea>
    </chartFormat>
    <chartFormat chart="8" format="252">
      <pivotArea type="data" outline="0" fieldPosition="0">
        <references count="2">
          <reference field="4294967294" count="1" selected="0">
            <x v="0"/>
          </reference>
          <reference field="0" count="1" selected="0">
            <x v="117"/>
          </reference>
        </references>
      </pivotArea>
    </chartFormat>
    <chartFormat chart="8" format="253">
      <pivotArea type="data" outline="0" fieldPosition="0">
        <references count="2">
          <reference field="4294967294" count="1" selected="0">
            <x v="0"/>
          </reference>
          <reference field="0" count="1" selected="0">
            <x v="118"/>
          </reference>
        </references>
      </pivotArea>
    </chartFormat>
    <chartFormat chart="8" format="254">
      <pivotArea type="data" outline="0" fieldPosition="0">
        <references count="2">
          <reference field="4294967294" count="1" selected="0">
            <x v="0"/>
          </reference>
          <reference field="0" count="1" selected="0">
            <x v="119"/>
          </reference>
        </references>
      </pivotArea>
    </chartFormat>
    <chartFormat chart="8" format="255">
      <pivotArea type="data" outline="0" fieldPosition="0">
        <references count="2">
          <reference field="4294967294" count="1" selected="0">
            <x v="0"/>
          </reference>
          <reference field="0" count="1" selected="0">
            <x v="120"/>
          </reference>
        </references>
      </pivotArea>
    </chartFormat>
    <chartFormat chart="8" format="256">
      <pivotArea type="data" outline="0" fieldPosition="0">
        <references count="2">
          <reference field="4294967294" count="1" selected="0">
            <x v="0"/>
          </reference>
          <reference field="0" count="1" selected="0">
            <x v="121"/>
          </reference>
        </references>
      </pivotArea>
    </chartFormat>
    <chartFormat chart="8" format="257">
      <pivotArea type="data" outline="0" fieldPosition="0">
        <references count="2">
          <reference field="4294967294" count="1" selected="0">
            <x v="0"/>
          </reference>
          <reference field="0" count="1" selected="0">
            <x v="122"/>
          </reference>
        </references>
      </pivotArea>
    </chartFormat>
    <chartFormat chart="8" format="258">
      <pivotArea type="data" outline="0" fieldPosition="0">
        <references count="2">
          <reference field="4294967294" count="1" selected="0">
            <x v="0"/>
          </reference>
          <reference field="0" count="1" selected="0">
            <x v="123"/>
          </reference>
        </references>
      </pivotArea>
    </chartFormat>
    <chartFormat chart="8" format="259">
      <pivotArea type="data" outline="0" fieldPosition="0">
        <references count="2">
          <reference field="4294967294" count="1" selected="0">
            <x v="0"/>
          </reference>
          <reference field="0" count="1" selected="0">
            <x v="124"/>
          </reference>
        </references>
      </pivotArea>
    </chartFormat>
    <chartFormat chart="8" format="260">
      <pivotArea type="data" outline="0" fieldPosition="0">
        <references count="2">
          <reference field="4294967294" count="1" selected="0">
            <x v="0"/>
          </reference>
          <reference field="0" count="1" selected="0">
            <x v="125"/>
          </reference>
        </references>
      </pivotArea>
    </chartFormat>
    <chartFormat chart="8" format="261">
      <pivotArea type="data" outline="0" fieldPosition="0">
        <references count="2">
          <reference field="4294967294" count="1" selected="0">
            <x v="0"/>
          </reference>
          <reference field="0" count="1" selected="0">
            <x v="126"/>
          </reference>
        </references>
      </pivotArea>
    </chartFormat>
    <chartFormat chart="8" format="262">
      <pivotArea type="data" outline="0" fieldPosition="0">
        <references count="2">
          <reference field="4294967294" count="1" selected="0">
            <x v="0"/>
          </reference>
          <reference field="0" count="1" selected="0">
            <x v="127"/>
          </reference>
        </references>
      </pivotArea>
    </chartFormat>
    <chartFormat chart="8" format="263">
      <pivotArea type="data" outline="0" fieldPosition="0">
        <references count="2">
          <reference field="4294967294" count="1" selected="0">
            <x v="0"/>
          </reference>
          <reference field="0" count="1" selected="0">
            <x v="128"/>
          </reference>
        </references>
      </pivotArea>
    </chartFormat>
    <chartFormat chart="8" format="264">
      <pivotArea type="data" outline="0" fieldPosition="0">
        <references count="2">
          <reference field="4294967294" count="1" selected="0">
            <x v="0"/>
          </reference>
          <reference field="0" count="1" selected="0">
            <x v="129"/>
          </reference>
        </references>
      </pivotArea>
    </chartFormat>
    <chartFormat chart="8" format="265">
      <pivotArea type="data" outline="0" fieldPosition="0">
        <references count="2">
          <reference field="4294967294" count="1" selected="0">
            <x v="0"/>
          </reference>
          <reference field="0" count="1" selected="0">
            <x v="130"/>
          </reference>
        </references>
      </pivotArea>
    </chartFormat>
    <chartFormat chart="8" format="266">
      <pivotArea type="data" outline="0" fieldPosition="0">
        <references count="2">
          <reference field="4294967294" count="1" selected="0">
            <x v="0"/>
          </reference>
          <reference field="0" count="1" selected="0">
            <x v="13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44328C-09B2-4004-A480-7C37EF8BF1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H19" firstHeaderRow="1" firstDataRow="2" firstDataCol="1"/>
  <pivotFields count="7">
    <pivotField axis="axisRow" showAll="0">
      <items count="133">
        <item x="98"/>
        <item x="92"/>
        <item x="100"/>
        <item x="41"/>
        <item x="38"/>
        <item x="117"/>
        <item x="33"/>
        <item x="123"/>
        <item x="83"/>
        <item x="127"/>
        <item x="34"/>
        <item x="50"/>
        <item x="5"/>
        <item x="19"/>
        <item x="107"/>
        <item x="9"/>
        <item x="14"/>
        <item x="76"/>
        <item x="109"/>
        <item x="61"/>
        <item x="120"/>
        <item x="65"/>
        <item x="94"/>
        <item x="7"/>
        <item x="74"/>
        <item x="59"/>
        <item x="16"/>
        <item x="81"/>
        <item x="56"/>
        <item x="99"/>
        <item x="49"/>
        <item x="29"/>
        <item x="101"/>
        <item x="53"/>
        <item x="113"/>
        <item x="68"/>
        <item x="36"/>
        <item x="96"/>
        <item x="95"/>
        <item x="66"/>
        <item x="52"/>
        <item x="80"/>
        <item x="2"/>
        <item x="31"/>
        <item x="70"/>
        <item x="28"/>
        <item x="131"/>
        <item x="8"/>
        <item x="122"/>
        <item x="91"/>
        <item x="88"/>
        <item x="116"/>
        <item x="27"/>
        <item x="79"/>
        <item x="35"/>
        <item x="85"/>
        <item x="22"/>
        <item x="40"/>
        <item x="45"/>
        <item x="20"/>
        <item x="63"/>
        <item x="21"/>
        <item x="102"/>
        <item x="84"/>
        <item x="12"/>
        <item x="124"/>
        <item x="60"/>
        <item x="32"/>
        <item x="48"/>
        <item x="44"/>
        <item x="13"/>
        <item x="26"/>
        <item x="77"/>
        <item x="112"/>
        <item x="0"/>
        <item x="4"/>
        <item x="10"/>
        <item x="47"/>
        <item x="105"/>
        <item x="111"/>
        <item x="87"/>
        <item x="37"/>
        <item x="11"/>
        <item x="103"/>
        <item x="46"/>
        <item x="58"/>
        <item x="125"/>
        <item x="57"/>
        <item x="104"/>
        <item x="78"/>
        <item x="121"/>
        <item x="42"/>
        <item x="6"/>
        <item x="43"/>
        <item x="23"/>
        <item x="3"/>
        <item x="71"/>
        <item x="64"/>
        <item x="73"/>
        <item x="129"/>
        <item x="72"/>
        <item x="24"/>
        <item x="118"/>
        <item x="114"/>
        <item x="69"/>
        <item x="39"/>
        <item x="82"/>
        <item x="126"/>
        <item x="75"/>
        <item x="25"/>
        <item x="15"/>
        <item x="128"/>
        <item x="93"/>
        <item x="51"/>
        <item x="130"/>
        <item x="119"/>
        <item x="89"/>
        <item x="90"/>
        <item x="108"/>
        <item x="1"/>
        <item x="30"/>
        <item x="54"/>
        <item x="110"/>
        <item x="115"/>
        <item x="55"/>
        <item x="17"/>
        <item x="106"/>
        <item x="67"/>
        <item x="86"/>
        <item x="62"/>
        <item x="97"/>
        <item x="18"/>
        <item t="default"/>
      </items>
    </pivotField>
    <pivotField axis="axisCol" showAll="0">
      <items count="16">
        <item h="1" x="12"/>
        <item h="1" x="1"/>
        <item h="1" x="13"/>
        <item x="2"/>
        <item h="1" x="7"/>
        <item h="1" x="0"/>
        <item h="1" x="9"/>
        <item h="1" x="3"/>
        <item h="1" x="6"/>
        <item h="1" x="8"/>
        <item h="1" x="4"/>
        <item h="1" x="10"/>
        <item h="1" x="11"/>
        <item h="1" x="5"/>
        <item h="1" x="14"/>
        <item t="default"/>
      </items>
    </pivotField>
    <pivotField showAll="0"/>
    <pivotField showAll="0"/>
    <pivotField dataField="1" showAll="0"/>
    <pivotField showAll="0"/>
    <pivotField showAll="0"/>
  </pivotFields>
  <rowFields count="1">
    <field x="0"/>
  </rowFields>
  <rowItems count="15">
    <i>
      <x v="7"/>
    </i>
    <i>
      <x v="14"/>
    </i>
    <i>
      <x v="18"/>
    </i>
    <i>
      <x v="20"/>
    </i>
    <i>
      <x v="24"/>
    </i>
    <i>
      <x v="33"/>
    </i>
    <i>
      <x v="42"/>
    </i>
    <i>
      <x v="43"/>
    </i>
    <i>
      <x v="58"/>
    </i>
    <i>
      <x v="90"/>
    </i>
    <i>
      <x v="91"/>
    </i>
    <i>
      <x v="93"/>
    </i>
    <i>
      <x v="101"/>
    </i>
    <i>
      <x v="126"/>
    </i>
    <i t="grand">
      <x/>
    </i>
  </rowItems>
  <colFields count="1">
    <field x="1"/>
  </colFields>
  <colItems count="2">
    <i>
      <x v="3"/>
    </i>
    <i t="grand">
      <x/>
    </i>
  </colItems>
  <dataFields count="1">
    <dataField name="Sum of Total Revenue" fld="4" baseField="0" baseItem="0"/>
  </dataFields>
  <formats count="6">
    <format dxfId="31">
      <pivotArea type="origin" dataOnly="0" labelOnly="1" outline="0" fieldPosition="0"/>
    </format>
    <format dxfId="30">
      <pivotArea field="1" type="button" dataOnly="0" labelOnly="1" outline="0" axis="axisCol" fieldPosition="0"/>
    </format>
    <format dxfId="29">
      <pivotArea type="topRight" dataOnly="0" labelOnly="1" outline="0" fieldPosition="0"/>
    </format>
    <format dxfId="28">
      <pivotArea field="0" type="button" dataOnly="0" labelOnly="1" outline="0" axis="axisRow" fieldPosition="0"/>
    </format>
    <format dxfId="27">
      <pivotArea dataOnly="0" labelOnly="1" fieldPosition="0">
        <references count="1">
          <reference field="1" count="0"/>
        </references>
      </pivotArea>
    </format>
    <format dxfId="26">
      <pivotArea dataOnly="0" labelOnly="1" grandCol="1" outline="0" fieldPosition="0"/>
    </format>
  </formats>
  <chartFormats count="15">
    <chartFormat chart="2" format="30" series="1">
      <pivotArea type="data" outline="0" fieldPosition="0">
        <references count="2">
          <reference field="4294967294" count="1" selected="0">
            <x v="0"/>
          </reference>
          <reference field="1" count="1" selected="0">
            <x v="0"/>
          </reference>
        </references>
      </pivotArea>
    </chartFormat>
    <chartFormat chart="2" format="31" series="1">
      <pivotArea type="data" outline="0" fieldPosition="0">
        <references count="2">
          <reference field="4294967294" count="1" selected="0">
            <x v="0"/>
          </reference>
          <reference field="1" count="1" selected="0">
            <x v="1"/>
          </reference>
        </references>
      </pivotArea>
    </chartFormat>
    <chartFormat chart="2" format="32" series="1">
      <pivotArea type="data" outline="0" fieldPosition="0">
        <references count="2">
          <reference field="4294967294" count="1" selected="0">
            <x v="0"/>
          </reference>
          <reference field="1" count="1" selected="0">
            <x v="2"/>
          </reference>
        </references>
      </pivotArea>
    </chartFormat>
    <chartFormat chart="2" format="33" series="1">
      <pivotArea type="data" outline="0" fieldPosition="0">
        <references count="2">
          <reference field="4294967294" count="1" selected="0">
            <x v="0"/>
          </reference>
          <reference field="1" count="1" selected="0">
            <x v="3"/>
          </reference>
        </references>
      </pivotArea>
    </chartFormat>
    <chartFormat chart="2" format="34" series="1">
      <pivotArea type="data" outline="0" fieldPosition="0">
        <references count="2">
          <reference field="4294967294" count="1" selected="0">
            <x v="0"/>
          </reference>
          <reference field="1" count="1" selected="0">
            <x v="4"/>
          </reference>
        </references>
      </pivotArea>
    </chartFormat>
    <chartFormat chart="2" format="35" series="1">
      <pivotArea type="data" outline="0" fieldPosition="0">
        <references count="2">
          <reference field="4294967294" count="1" selected="0">
            <x v="0"/>
          </reference>
          <reference field="1" count="1" selected="0">
            <x v="5"/>
          </reference>
        </references>
      </pivotArea>
    </chartFormat>
    <chartFormat chart="2" format="36" series="1">
      <pivotArea type="data" outline="0" fieldPosition="0">
        <references count="2">
          <reference field="4294967294" count="1" selected="0">
            <x v="0"/>
          </reference>
          <reference field="1" count="1" selected="0">
            <x v="6"/>
          </reference>
        </references>
      </pivotArea>
    </chartFormat>
    <chartFormat chart="2" format="37" series="1">
      <pivotArea type="data" outline="0" fieldPosition="0">
        <references count="2">
          <reference field="4294967294" count="1" selected="0">
            <x v="0"/>
          </reference>
          <reference field="1" count="1" selected="0">
            <x v="7"/>
          </reference>
        </references>
      </pivotArea>
    </chartFormat>
    <chartFormat chart="2" format="38" series="1">
      <pivotArea type="data" outline="0" fieldPosition="0">
        <references count="2">
          <reference field="4294967294" count="1" selected="0">
            <x v="0"/>
          </reference>
          <reference field="1" count="1" selected="0">
            <x v="8"/>
          </reference>
        </references>
      </pivotArea>
    </chartFormat>
    <chartFormat chart="2" format="39" series="1">
      <pivotArea type="data" outline="0" fieldPosition="0">
        <references count="2">
          <reference field="4294967294" count="1" selected="0">
            <x v="0"/>
          </reference>
          <reference field="1" count="1" selected="0">
            <x v="9"/>
          </reference>
        </references>
      </pivotArea>
    </chartFormat>
    <chartFormat chart="2" format="40" series="1">
      <pivotArea type="data" outline="0" fieldPosition="0">
        <references count="2">
          <reference field="4294967294" count="1" selected="0">
            <x v="0"/>
          </reference>
          <reference field="1" count="1" selected="0">
            <x v="10"/>
          </reference>
        </references>
      </pivotArea>
    </chartFormat>
    <chartFormat chart="2" format="41" series="1">
      <pivotArea type="data" outline="0" fieldPosition="0">
        <references count="2">
          <reference field="4294967294" count="1" selected="0">
            <x v="0"/>
          </reference>
          <reference field="1" count="1" selected="0">
            <x v="11"/>
          </reference>
        </references>
      </pivotArea>
    </chartFormat>
    <chartFormat chart="2" format="42" series="1">
      <pivotArea type="data" outline="0" fieldPosition="0">
        <references count="2">
          <reference field="4294967294" count="1" selected="0">
            <x v="0"/>
          </reference>
          <reference field="1" count="1" selected="0">
            <x v="12"/>
          </reference>
        </references>
      </pivotArea>
    </chartFormat>
    <chartFormat chart="2" format="43" series="1">
      <pivotArea type="data" outline="0" fieldPosition="0">
        <references count="2">
          <reference field="4294967294" count="1" selected="0">
            <x v="0"/>
          </reference>
          <reference field="1" count="1" selected="0">
            <x v="13"/>
          </reference>
        </references>
      </pivotArea>
    </chartFormat>
    <chartFormat chart="2" format="44" series="1">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374032-7654-481F-BCEA-7CCB0F5D0E23}" name="PivotTable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7">
  <location ref="A3:C13" firstHeaderRow="0" firstDataRow="1" firstDataCol="1"/>
  <pivotFields count="3">
    <pivotField axis="axisRow" allDrilled="1" subtotalTop="0" showAll="0" sortType="ascending" defaultSubtotal="0" defaultAttributeDrillState="1">
      <items count="9">
        <item x="3"/>
        <item x="2"/>
        <item x="6"/>
        <item x="0"/>
        <item x="7"/>
        <item x="5"/>
        <item x="4"/>
        <item x="1"/>
        <item x="8"/>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Total Revenue" fld="1" baseField="0" baseItem="0" numFmtId="165"/>
    <dataField name="Sum of Total Revenue2" fld="2" baseField="0" baseItem="0">
      <extLst>
        <ext xmlns:x14="http://schemas.microsoft.com/office/spreadsheetml/2009/9/main" uri="{E15A36E0-9728-4e99-A89B-3F7291B0FE68}">
          <x14:dataField sourceField="1" uniqueName="[__Xl2].[Measures].[Sum of Total Revenue]"/>
        </ext>
      </extLst>
    </dataField>
  </dataFields>
  <formats count="10">
    <format dxfId="41">
      <pivotArea outline="0" collapsedLevelsAreSubtotals="1" fieldPosition="0"/>
    </format>
    <format dxfId="40">
      <pivotArea outline="0" fieldPosition="0">
        <references count="1">
          <reference field="4294967294" count="1">
            <x v="0"/>
          </reference>
        </references>
      </pivotArea>
    </format>
    <format dxfId="39">
      <pivotArea field="0" type="button" dataOnly="0" labelOnly="1" outline="0" axis="axisRow" fieldPosition="0"/>
    </format>
    <format dxfId="38">
      <pivotArea field="0" type="button" dataOnly="0" labelOnly="1" outline="0" axis="axisRow" fieldPosition="0"/>
    </format>
    <format dxfId="37">
      <pivotArea dataOnly="0" outline="0" fieldPosition="0">
        <references count="1">
          <reference field="4294967294" count="1">
            <x v="1"/>
          </reference>
        </references>
      </pivotArea>
    </format>
    <format dxfId="36">
      <pivotArea dataOnly="0" outline="0" fieldPosition="0">
        <references count="1">
          <reference field="4294967294" count="1">
            <x v="1"/>
          </reference>
        </references>
      </pivotArea>
    </format>
    <format dxfId="35">
      <pivotArea dataOnly="0" labelOnly="1" outline="0" fieldPosition="0">
        <references count="1">
          <reference field="4294967294" count="1">
            <x v="1"/>
          </reference>
        </references>
      </pivotArea>
    </format>
    <format dxfId="34">
      <pivotArea dataOnly="0" labelOnly="1" outline="0" fieldPosition="0">
        <references count="1">
          <reference field="4294967294" count="1">
            <x v="0"/>
          </reference>
        </references>
      </pivotArea>
    </format>
    <format dxfId="33">
      <pivotArea field="0" type="button" dataOnly="0" labelOnly="1" outline="0" axis="axisRow" fieldPosition="0"/>
    </format>
    <format dxfId="32">
      <pivotArea dataOnly="0" labelOnly="1" outline="0" fieldPosition="0">
        <references count="1">
          <reference field="4294967294" count="2">
            <x v="0"/>
            <x v="1"/>
          </reference>
        </references>
      </pivotArea>
    </format>
  </formats>
  <chartFormats count="2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0" count="1" selected="0">
            <x v="1"/>
          </reference>
        </references>
      </pivotArea>
    </chartFormat>
    <chartFormat chart="1" format="3">
      <pivotArea type="data" outline="0" fieldPosition="0">
        <references count="2">
          <reference field="4294967294" count="1" selected="0">
            <x v="1"/>
          </reference>
          <reference field="0" count="1" selected="0">
            <x v="0"/>
          </reference>
        </references>
      </pivotArea>
    </chartFormat>
    <chartFormat chart="1" format="4">
      <pivotArea type="data" outline="0" fieldPosition="0">
        <references count="2">
          <reference field="4294967294" count="1" selected="0">
            <x v="1"/>
          </reference>
          <reference field="0" count="1" selected="0">
            <x v="2"/>
          </reference>
        </references>
      </pivotArea>
    </chartFormat>
    <chartFormat chart="1" format="5">
      <pivotArea type="data" outline="0" fieldPosition="0">
        <references count="2">
          <reference field="4294967294" count="1" selected="0">
            <x v="1"/>
          </reference>
          <reference field="0" count="1" selected="0">
            <x v="3"/>
          </reference>
        </references>
      </pivotArea>
    </chartFormat>
    <chartFormat chart="1" format="6">
      <pivotArea type="data" outline="0" fieldPosition="0">
        <references count="2">
          <reference field="4294967294" count="1" selected="0">
            <x v="1"/>
          </reference>
          <reference field="0" count="1" selected="0">
            <x v="4"/>
          </reference>
        </references>
      </pivotArea>
    </chartFormat>
    <chartFormat chart="1" format="7">
      <pivotArea type="data" outline="0" fieldPosition="0">
        <references count="2">
          <reference field="4294967294" count="1" selected="0">
            <x v="1"/>
          </reference>
          <reference field="0" count="1" selected="0">
            <x v="5"/>
          </reference>
        </references>
      </pivotArea>
    </chartFormat>
    <chartFormat chart="1" format="8">
      <pivotArea type="data" outline="0" fieldPosition="0">
        <references count="2">
          <reference field="4294967294" count="1" selected="0">
            <x v="1"/>
          </reference>
          <reference field="0" count="1" selected="0">
            <x v="6"/>
          </reference>
        </references>
      </pivotArea>
    </chartFormat>
    <chartFormat chart="1" format="9">
      <pivotArea type="data" outline="0" fieldPosition="0">
        <references count="2">
          <reference field="4294967294" count="1" selected="0">
            <x v="1"/>
          </reference>
          <reference field="0" count="1" selected="0">
            <x v="7"/>
          </reference>
        </references>
      </pivotArea>
    </chartFormat>
    <chartFormat chart="1" format="10">
      <pivotArea type="data" outline="0" fieldPosition="0">
        <references count="2">
          <reference field="4294967294" count="1" selected="0">
            <x v="1"/>
          </reference>
          <reference field="0" count="1" selected="0">
            <x v="8"/>
          </reference>
        </references>
      </pivotArea>
    </chartFormat>
    <chartFormat chart="45" format="22" series="1">
      <pivotArea type="data" outline="0" fieldPosition="0">
        <references count="1">
          <reference field="4294967294" count="1" selected="0">
            <x v="0"/>
          </reference>
        </references>
      </pivotArea>
    </chartFormat>
    <chartFormat chart="45" format="23" series="1">
      <pivotArea type="data" outline="0" fieldPosition="0">
        <references count="1">
          <reference field="4294967294" count="1" selected="0">
            <x v="1"/>
          </reference>
        </references>
      </pivotArea>
    </chartFormat>
    <chartFormat chart="45" format="24">
      <pivotArea type="data" outline="0" fieldPosition="0">
        <references count="2">
          <reference field="4294967294" count="1" selected="0">
            <x v="1"/>
          </reference>
          <reference field="0" count="1" selected="0">
            <x v="0"/>
          </reference>
        </references>
      </pivotArea>
    </chartFormat>
    <chartFormat chart="45" format="25">
      <pivotArea type="data" outline="0" fieldPosition="0">
        <references count="2">
          <reference field="4294967294" count="1" selected="0">
            <x v="1"/>
          </reference>
          <reference field="0" count="1" selected="0">
            <x v="1"/>
          </reference>
        </references>
      </pivotArea>
    </chartFormat>
    <chartFormat chart="45" format="26">
      <pivotArea type="data" outline="0" fieldPosition="0">
        <references count="2">
          <reference field="4294967294" count="1" selected="0">
            <x v="1"/>
          </reference>
          <reference field="0" count="1" selected="0">
            <x v="2"/>
          </reference>
        </references>
      </pivotArea>
    </chartFormat>
    <chartFormat chart="45" format="27">
      <pivotArea type="data" outline="0" fieldPosition="0">
        <references count="2">
          <reference field="4294967294" count="1" selected="0">
            <x v="1"/>
          </reference>
          <reference field="0" count="1" selected="0">
            <x v="3"/>
          </reference>
        </references>
      </pivotArea>
    </chartFormat>
    <chartFormat chart="45" format="28">
      <pivotArea type="data" outline="0" fieldPosition="0">
        <references count="2">
          <reference field="4294967294" count="1" selected="0">
            <x v="1"/>
          </reference>
          <reference field="0" count="1" selected="0">
            <x v="4"/>
          </reference>
        </references>
      </pivotArea>
    </chartFormat>
    <chartFormat chart="45" format="29">
      <pivotArea type="data" outline="0" fieldPosition="0">
        <references count="2">
          <reference field="4294967294" count="1" selected="0">
            <x v="1"/>
          </reference>
          <reference field="0" count="1" selected="0">
            <x v="5"/>
          </reference>
        </references>
      </pivotArea>
    </chartFormat>
    <chartFormat chart="45" format="30">
      <pivotArea type="data" outline="0" fieldPosition="0">
        <references count="2">
          <reference field="4294967294" count="1" selected="0">
            <x v="1"/>
          </reference>
          <reference field="0" count="1" selected="0">
            <x v="6"/>
          </reference>
        </references>
      </pivotArea>
    </chartFormat>
    <chartFormat chart="45" format="31">
      <pivotArea type="data" outline="0" fieldPosition="0">
        <references count="2">
          <reference field="4294967294" count="1" selected="0">
            <x v="1"/>
          </reference>
          <reference field="0" count="1" selected="0">
            <x v="7"/>
          </reference>
        </references>
      </pivotArea>
    </chartFormat>
    <chartFormat chart="45" format="32">
      <pivotArea type="data" outline="0" fieldPosition="0">
        <references count="2">
          <reference field="4294967294" count="1" selected="0">
            <x v="1"/>
          </reference>
          <reference field="0" count="1" selected="0">
            <x v="8"/>
          </reference>
        </references>
      </pivotArea>
    </chartFormat>
  </chartFormats>
  <pivotHierarchies count="12">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base!$B$2:$I$2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20B965B-946C-4D8F-85C6-FA3A0BE8B5EB}" sourceName="Product">
  <pivotTables>
    <pivotTable tabId="5" name="PivotTable4"/>
  </pivotTables>
  <data>
    <tabular pivotCacheId="1230889434">
      <items count="15">
        <i x="12"/>
        <i x="1"/>
        <i x="13"/>
        <i x="2" s="1"/>
        <i x="7"/>
        <i x="0"/>
        <i x="9"/>
        <i x="3"/>
        <i x="6"/>
        <i x="8"/>
        <i x="4"/>
        <i x="10"/>
        <i x="11"/>
        <i x="5"/>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742DC34-4036-4B17-B771-D0809C21528D}" cache="Slicer_Product" caption="Product" columnCount="3"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F63C8-A58E-4356-B440-FAFC47F78739}">
  <sheetPr>
    <tabColor theme="5"/>
  </sheetPr>
  <dimension ref="A1:Q2500"/>
  <sheetViews>
    <sheetView showGridLines="0" zoomScale="80" workbookViewId="0">
      <selection activeCell="B3" sqref="B3"/>
    </sheetView>
  </sheetViews>
  <sheetFormatPr defaultRowHeight="15.6" x14ac:dyDescent="0.3"/>
  <cols>
    <col min="1" max="1" width="6.109375" style="11" customWidth="1"/>
    <col min="2" max="2" width="11.21875" style="2" bestFit="1" customWidth="1"/>
    <col min="3" max="3" width="11.21875" style="2" customWidth="1"/>
    <col min="4" max="4" width="25.88671875" style="2" customWidth="1"/>
    <col min="5" max="5" width="9.109375" style="2" bestFit="1" customWidth="1"/>
    <col min="6" max="6" width="6.88671875" style="2" bestFit="1" customWidth="1"/>
    <col min="7" max="7" width="15.109375" style="1" bestFit="1" customWidth="1"/>
    <col min="8" max="8" width="22" style="1" bestFit="1" customWidth="1"/>
    <col min="9" max="9" width="13.44140625" style="1" customWidth="1"/>
    <col min="10" max="16384" width="8.88671875" style="1"/>
  </cols>
  <sheetData>
    <row r="1" spans="1:17" ht="33" customHeight="1" x14ac:dyDescent="0.3">
      <c r="A1" s="9"/>
      <c r="Q1" s="3"/>
    </row>
    <row r="2" spans="1:17" s="3" customFormat="1" ht="37.049999999999997" customHeight="1" x14ac:dyDescent="0.3">
      <c r="A2" s="10"/>
      <c r="B2" s="6" t="s">
        <v>0</v>
      </c>
      <c r="C2" s="6" t="s">
        <v>158</v>
      </c>
      <c r="D2" s="6" t="s">
        <v>133</v>
      </c>
      <c r="E2" s="6" t="s">
        <v>149</v>
      </c>
      <c r="F2" s="6" t="s">
        <v>150</v>
      </c>
      <c r="G2" s="6" t="s">
        <v>151</v>
      </c>
      <c r="H2" s="6" t="s">
        <v>152</v>
      </c>
      <c r="I2" s="6" t="s">
        <v>153</v>
      </c>
    </row>
    <row r="3" spans="1:17" ht="21" customHeight="1" x14ac:dyDescent="0.3">
      <c r="A3" s="9"/>
      <c r="B3" s="4" t="s">
        <v>1</v>
      </c>
      <c r="C3" s="5" t="s">
        <v>161</v>
      </c>
      <c r="D3" s="4" t="s">
        <v>134</v>
      </c>
      <c r="E3" s="4">
        <v>4</v>
      </c>
      <c r="F3" s="4">
        <v>12000</v>
      </c>
      <c r="G3" s="5">
        <f>SUMPRODUCT(E3*F3)</f>
        <v>48000</v>
      </c>
      <c r="H3" s="5">
        <f>G3/E3</f>
        <v>12000</v>
      </c>
      <c r="I3" s="5">
        <f>SUM(E3)</f>
        <v>4</v>
      </c>
    </row>
    <row r="4" spans="1:17" ht="21" customHeight="1" x14ac:dyDescent="0.3">
      <c r="A4" s="9"/>
      <c r="B4" s="7" t="s">
        <v>2</v>
      </c>
      <c r="C4" s="7" t="s">
        <v>162</v>
      </c>
      <c r="D4" s="7" t="s">
        <v>135</v>
      </c>
      <c r="E4" s="7">
        <v>1</v>
      </c>
      <c r="F4" s="7">
        <v>5000</v>
      </c>
      <c r="G4" s="8">
        <f t="shared" ref="G4:G67" si="0">SUMPRODUCT(E4*F4)</f>
        <v>5000</v>
      </c>
      <c r="H4" s="8">
        <f t="shared" ref="H4:H67" si="1">G4/E4</f>
        <v>5000</v>
      </c>
      <c r="I4" s="8">
        <f t="shared" ref="I4:I67" si="2">SUM(E4)</f>
        <v>1</v>
      </c>
    </row>
    <row r="5" spans="1:17" ht="21" customHeight="1" x14ac:dyDescent="0.3">
      <c r="A5" s="9"/>
      <c r="B5" s="4" t="s">
        <v>3</v>
      </c>
      <c r="C5" s="5" t="s">
        <v>161</v>
      </c>
      <c r="D5" s="4" t="s">
        <v>136</v>
      </c>
      <c r="E5" s="4">
        <v>1</v>
      </c>
      <c r="F5" s="4">
        <v>800</v>
      </c>
      <c r="G5" s="5">
        <f t="shared" si="0"/>
        <v>800</v>
      </c>
      <c r="H5" s="5">
        <f t="shared" si="1"/>
        <v>800</v>
      </c>
      <c r="I5" s="5">
        <f t="shared" si="2"/>
        <v>1</v>
      </c>
    </row>
    <row r="6" spans="1:17" ht="21" customHeight="1" x14ac:dyDescent="0.3">
      <c r="A6" s="9"/>
      <c r="B6" s="7" t="s">
        <v>4</v>
      </c>
      <c r="C6" s="7" t="s">
        <v>163</v>
      </c>
      <c r="D6" s="7" t="s">
        <v>137</v>
      </c>
      <c r="E6" s="7">
        <v>5</v>
      </c>
      <c r="F6" s="7">
        <v>2500</v>
      </c>
      <c r="G6" s="8">
        <f t="shared" si="0"/>
        <v>12500</v>
      </c>
      <c r="H6" s="8">
        <f t="shared" si="1"/>
        <v>2500</v>
      </c>
      <c r="I6" s="8">
        <f t="shared" si="2"/>
        <v>5</v>
      </c>
    </row>
    <row r="7" spans="1:17" ht="21" customHeight="1" x14ac:dyDescent="0.3">
      <c r="A7" s="9"/>
      <c r="B7" s="4" t="s">
        <v>5</v>
      </c>
      <c r="C7" s="5" t="s">
        <v>164</v>
      </c>
      <c r="D7" s="4" t="s">
        <v>138</v>
      </c>
      <c r="E7" s="4">
        <v>4</v>
      </c>
      <c r="F7" s="4">
        <v>3500</v>
      </c>
      <c r="G7" s="5">
        <f t="shared" si="0"/>
        <v>14000</v>
      </c>
      <c r="H7" s="5">
        <f t="shared" si="1"/>
        <v>3500</v>
      </c>
      <c r="I7" s="5">
        <f t="shared" si="2"/>
        <v>4</v>
      </c>
    </row>
    <row r="8" spans="1:17" ht="21" customHeight="1" x14ac:dyDescent="0.3">
      <c r="A8" s="9"/>
      <c r="B8" s="7" t="s">
        <v>6</v>
      </c>
      <c r="C8" s="7" t="s">
        <v>165</v>
      </c>
      <c r="D8" s="7" t="s">
        <v>137</v>
      </c>
      <c r="E8" s="7">
        <v>5</v>
      </c>
      <c r="F8" s="7">
        <v>2500</v>
      </c>
      <c r="G8" s="8">
        <f t="shared" si="0"/>
        <v>12500</v>
      </c>
      <c r="H8" s="8">
        <f t="shared" si="1"/>
        <v>2500</v>
      </c>
      <c r="I8" s="8">
        <f t="shared" si="2"/>
        <v>5</v>
      </c>
    </row>
    <row r="9" spans="1:17" ht="21" customHeight="1" x14ac:dyDescent="0.3">
      <c r="A9" s="9"/>
      <c r="B9" s="4" t="s">
        <v>7</v>
      </c>
      <c r="C9" s="5" t="s">
        <v>161</v>
      </c>
      <c r="D9" s="4" t="s">
        <v>139</v>
      </c>
      <c r="E9" s="4">
        <v>5</v>
      </c>
      <c r="F9" s="4">
        <v>700</v>
      </c>
      <c r="G9" s="5">
        <f t="shared" si="0"/>
        <v>3500</v>
      </c>
      <c r="H9" s="5">
        <f t="shared" si="1"/>
        <v>700</v>
      </c>
      <c r="I9" s="5">
        <f t="shared" si="2"/>
        <v>5</v>
      </c>
    </row>
    <row r="10" spans="1:17" ht="21" customHeight="1" x14ac:dyDescent="0.3">
      <c r="A10" s="9"/>
      <c r="B10" s="7" t="s">
        <v>5</v>
      </c>
      <c r="C10" s="7" t="s">
        <v>164</v>
      </c>
      <c r="D10" s="7" t="s">
        <v>140</v>
      </c>
      <c r="E10" s="7">
        <v>3</v>
      </c>
      <c r="F10" s="7">
        <v>8500</v>
      </c>
      <c r="G10" s="8">
        <f t="shared" si="0"/>
        <v>25500</v>
      </c>
      <c r="H10" s="8">
        <f t="shared" si="1"/>
        <v>8500</v>
      </c>
      <c r="I10" s="8">
        <f t="shared" si="2"/>
        <v>3</v>
      </c>
    </row>
    <row r="11" spans="1:17" ht="21" customHeight="1" x14ac:dyDescent="0.3">
      <c r="A11" s="9"/>
      <c r="B11" s="4" t="s">
        <v>8</v>
      </c>
      <c r="C11" s="5" t="s">
        <v>166</v>
      </c>
      <c r="D11" s="4" t="s">
        <v>135</v>
      </c>
      <c r="E11" s="4">
        <v>2</v>
      </c>
      <c r="F11" s="4">
        <v>5000</v>
      </c>
      <c r="G11" s="5">
        <f t="shared" si="0"/>
        <v>10000</v>
      </c>
      <c r="H11" s="5">
        <f t="shared" si="1"/>
        <v>5000</v>
      </c>
      <c r="I11" s="5">
        <f t="shared" si="2"/>
        <v>2</v>
      </c>
    </row>
    <row r="12" spans="1:17" ht="21" customHeight="1" x14ac:dyDescent="0.3">
      <c r="A12" s="9"/>
      <c r="B12" s="7" t="s">
        <v>9</v>
      </c>
      <c r="C12" s="7" t="s">
        <v>161</v>
      </c>
      <c r="D12" s="7" t="s">
        <v>141</v>
      </c>
      <c r="E12" s="7">
        <v>2</v>
      </c>
      <c r="F12" s="7">
        <v>55000</v>
      </c>
      <c r="G12" s="8">
        <f t="shared" si="0"/>
        <v>110000</v>
      </c>
      <c r="H12" s="8">
        <f>G12/E12</f>
        <v>55000</v>
      </c>
      <c r="I12" s="8">
        <f t="shared" si="2"/>
        <v>2</v>
      </c>
    </row>
    <row r="13" spans="1:17" ht="21" customHeight="1" x14ac:dyDescent="0.3">
      <c r="A13" s="9"/>
      <c r="B13" s="4" t="s">
        <v>10</v>
      </c>
      <c r="C13" s="5" t="s">
        <v>165</v>
      </c>
      <c r="D13" s="4" t="s">
        <v>140</v>
      </c>
      <c r="E13" s="4">
        <v>3</v>
      </c>
      <c r="F13" s="4">
        <v>8500</v>
      </c>
      <c r="G13" s="5">
        <f t="shared" si="0"/>
        <v>25500</v>
      </c>
      <c r="H13" s="5">
        <f t="shared" si="1"/>
        <v>8500</v>
      </c>
      <c r="I13" s="5">
        <f t="shared" si="2"/>
        <v>3</v>
      </c>
    </row>
    <row r="14" spans="1:17" ht="21" customHeight="1" x14ac:dyDescent="0.3">
      <c r="A14" s="9"/>
      <c r="B14" s="7" t="s">
        <v>11</v>
      </c>
      <c r="C14" s="7" t="s">
        <v>167</v>
      </c>
      <c r="D14" s="7" t="s">
        <v>141</v>
      </c>
      <c r="E14" s="7">
        <v>1</v>
      </c>
      <c r="F14" s="7">
        <v>55000</v>
      </c>
      <c r="G14" s="8">
        <f t="shared" si="0"/>
        <v>55000</v>
      </c>
      <c r="H14" s="8">
        <f t="shared" si="1"/>
        <v>55000</v>
      </c>
      <c r="I14" s="8">
        <f t="shared" si="2"/>
        <v>1</v>
      </c>
    </row>
    <row r="15" spans="1:17" ht="21" customHeight="1" x14ac:dyDescent="0.3">
      <c r="A15" s="9"/>
      <c r="B15" s="4" t="s">
        <v>12</v>
      </c>
      <c r="C15" s="5" t="s">
        <v>168</v>
      </c>
      <c r="D15" s="4" t="s">
        <v>138</v>
      </c>
      <c r="E15" s="4">
        <v>4</v>
      </c>
      <c r="F15" s="4">
        <v>3500</v>
      </c>
      <c r="G15" s="5">
        <f t="shared" si="0"/>
        <v>14000</v>
      </c>
      <c r="H15" s="5">
        <f t="shared" si="1"/>
        <v>3500</v>
      </c>
      <c r="I15" s="5">
        <f t="shared" si="2"/>
        <v>4</v>
      </c>
    </row>
    <row r="16" spans="1:17" ht="21" customHeight="1" x14ac:dyDescent="0.3">
      <c r="A16" s="9"/>
      <c r="B16" s="7" t="s">
        <v>13</v>
      </c>
      <c r="C16" s="7" t="s">
        <v>169</v>
      </c>
      <c r="D16" s="7" t="s">
        <v>142</v>
      </c>
      <c r="E16" s="7">
        <v>2</v>
      </c>
      <c r="F16" s="7">
        <v>30000</v>
      </c>
      <c r="G16" s="8">
        <f t="shared" si="0"/>
        <v>60000</v>
      </c>
      <c r="H16" s="8">
        <f t="shared" si="1"/>
        <v>30000</v>
      </c>
      <c r="I16" s="8">
        <f t="shared" si="2"/>
        <v>2</v>
      </c>
    </row>
    <row r="17" spans="1:9" ht="21" customHeight="1" x14ac:dyDescent="0.3">
      <c r="A17" s="9"/>
      <c r="B17" s="4" t="s">
        <v>14</v>
      </c>
      <c r="C17" s="5" t="s">
        <v>168</v>
      </c>
      <c r="D17" s="4" t="s">
        <v>134</v>
      </c>
      <c r="E17" s="4">
        <v>2</v>
      </c>
      <c r="F17" s="4">
        <v>12000</v>
      </c>
      <c r="G17" s="5">
        <f t="shared" si="0"/>
        <v>24000</v>
      </c>
      <c r="H17" s="5">
        <f t="shared" si="1"/>
        <v>12000</v>
      </c>
      <c r="I17" s="5">
        <f t="shared" si="2"/>
        <v>2</v>
      </c>
    </row>
    <row r="18" spans="1:9" ht="21" customHeight="1" x14ac:dyDescent="0.3">
      <c r="A18" s="9"/>
      <c r="B18" s="7" t="s">
        <v>15</v>
      </c>
      <c r="C18" s="7" t="s">
        <v>161</v>
      </c>
      <c r="D18" s="7" t="s">
        <v>143</v>
      </c>
      <c r="E18" s="7">
        <v>2</v>
      </c>
      <c r="F18" s="7">
        <v>600</v>
      </c>
      <c r="G18" s="8">
        <f t="shared" si="0"/>
        <v>1200</v>
      </c>
      <c r="H18" s="8">
        <f t="shared" si="1"/>
        <v>600</v>
      </c>
      <c r="I18" s="8">
        <f t="shared" si="2"/>
        <v>2</v>
      </c>
    </row>
    <row r="19" spans="1:9" ht="21" customHeight="1" x14ac:dyDescent="0.3">
      <c r="A19" s="9"/>
      <c r="B19" s="4" t="s">
        <v>16</v>
      </c>
      <c r="C19" s="5" t="s">
        <v>162</v>
      </c>
      <c r="D19" s="4" t="s">
        <v>143</v>
      </c>
      <c r="E19" s="4">
        <v>1</v>
      </c>
      <c r="F19" s="4">
        <v>600</v>
      </c>
      <c r="G19" s="5">
        <f t="shared" si="0"/>
        <v>600</v>
      </c>
      <c r="H19" s="5">
        <f t="shared" si="1"/>
        <v>600</v>
      </c>
      <c r="I19" s="5">
        <f t="shared" si="2"/>
        <v>1</v>
      </c>
    </row>
    <row r="20" spans="1:9" ht="21" customHeight="1" x14ac:dyDescent="0.3">
      <c r="A20" s="9"/>
      <c r="B20" s="7" t="s">
        <v>17</v>
      </c>
      <c r="C20" s="7" t="s">
        <v>169</v>
      </c>
      <c r="D20" s="7" t="s">
        <v>134</v>
      </c>
      <c r="E20" s="7">
        <v>1</v>
      </c>
      <c r="F20" s="7">
        <v>12000</v>
      </c>
      <c r="G20" s="8">
        <f t="shared" si="0"/>
        <v>12000</v>
      </c>
      <c r="H20" s="8">
        <f t="shared" si="1"/>
        <v>12000</v>
      </c>
      <c r="I20" s="8">
        <f t="shared" si="2"/>
        <v>1</v>
      </c>
    </row>
    <row r="21" spans="1:9" ht="21" customHeight="1" x14ac:dyDescent="0.3">
      <c r="A21" s="9"/>
      <c r="B21" s="4" t="s">
        <v>18</v>
      </c>
      <c r="C21" s="5" t="s">
        <v>167</v>
      </c>
      <c r="D21" s="4" t="s">
        <v>139</v>
      </c>
      <c r="E21" s="4">
        <v>2</v>
      </c>
      <c r="F21" s="4">
        <v>700</v>
      </c>
      <c r="G21" s="5">
        <f t="shared" si="0"/>
        <v>1400</v>
      </c>
      <c r="H21" s="5">
        <f t="shared" si="1"/>
        <v>700</v>
      </c>
      <c r="I21" s="5">
        <f t="shared" si="2"/>
        <v>2</v>
      </c>
    </row>
    <row r="22" spans="1:9" ht="21" customHeight="1" x14ac:dyDescent="0.3">
      <c r="A22" s="9"/>
      <c r="B22" s="7" t="s">
        <v>19</v>
      </c>
      <c r="C22" s="7" t="s">
        <v>169</v>
      </c>
      <c r="D22" s="7" t="s">
        <v>142</v>
      </c>
      <c r="E22" s="7">
        <v>5</v>
      </c>
      <c r="F22" s="7">
        <v>30000</v>
      </c>
      <c r="G22" s="8">
        <f t="shared" si="0"/>
        <v>150000</v>
      </c>
      <c r="H22" s="8">
        <f t="shared" si="1"/>
        <v>30000</v>
      </c>
      <c r="I22" s="8">
        <f t="shared" si="2"/>
        <v>5</v>
      </c>
    </row>
    <row r="23" spans="1:9" ht="21" customHeight="1" x14ac:dyDescent="0.3">
      <c r="A23" s="9"/>
      <c r="B23" s="4" t="s">
        <v>20</v>
      </c>
      <c r="C23" s="5" t="s">
        <v>164</v>
      </c>
      <c r="D23" s="4" t="s">
        <v>142</v>
      </c>
      <c r="E23" s="4">
        <v>2</v>
      </c>
      <c r="F23" s="4">
        <v>30000</v>
      </c>
      <c r="G23" s="5">
        <f t="shared" si="0"/>
        <v>60000</v>
      </c>
      <c r="H23" s="5">
        <f t="shared" si="1"/>
        <v>30000</v>
      </c>
      <c r="I23" s="5">
        <f t="shared" si="2"/>
        <v>2</v>
      </c>
    </row>
    <row r="24" spans="1:9" ht="21" customHeight="1" x14ac:dyDescent="0.3">
      <c r="A24" s="9"/>
      <c r="B24" s="7" t="s">
        <v>21</v>
      </c>
      <c r="C24" s="7" t="s">
        <v>163</v>
      </c>
      <c r="D24" s="7" t="s">
        <v>139</v>
      </c>
      <c r="E24" s="7">
        <v>5</v>
      </c>
      <c r="F24" s="7">
        <v>700</v>
      </c>
      <c r="G24" s="8">
        <f t="shared" si="0"/>
        <v>3500</v>
      </c>
      <c r="H24" s="8">
        <f t="shared" si="1"/>
        <v>700</v>
      </c>
      <c r="I24" s="8">
        <f t="shared" si="2"/>
        <v>5</v>
      </c>
    </row>
    <row r="25" spans="1:9" ht="21" customHeight="1" x14ac:dyDescent="0.3">
      <c r="A25" s="9"/>
      <c r="B25" s="4" t="s">
        <v>22</v>
      </c>
      <c r="C25" s="5" t="s">
        <v>162</v>
      </c>
      <c r="D25" s="4" t="s">
        <v>139</v>
      </c>
      <c r="E25" s="4">
        <v>4</v>
      </c>
      <c r="F25" s="4">
        <v>700</v>
      </c>
      <c r="G25" s="5">
        <f t="shared" si="0"/>
        <v>2800</v>
      </c>
      <c r="H25" s="5">
        <f t="shared" si="1"/>
        <v>700</v>
      </c>
      <c r="I25" s="5">
        <f t="shared" si="2"/>
        <v>4</v>
      </c>
    </row>
    <row r="26" spans="1:9" ht="21" customHeight="1" x14ac:dyDescent="0.3">
      <c r="A26" s="9"/>
      <c r="B26" s="7" t="s">
        <v>23</v>
      </c>
      <c r="C26" s="7" t="s">
        <v>167</v>
      </c>
      <c r="D26" s="7" t="s">
        <v>138</v>
      </c>
      <c r="E26" s="7">
        <v>1</v>
      </c>
      <c r="F26" s="7">
        <v>3500</v>
      </c>
      <c r="G26" s="8">
        <f t="shared" si="0"/>
        <v>3500</v>
      </c>
      <c r="H26" s="8">
        <f t="shared" si="1"/>
        <v>3500</v>
      </c>
      <c r="I26" s="8">
        <f t="shared" si="2"/>
        <v>1</v>
      </c>
    </row>
    <row r="27" spans="1:9" ht="21" customHeight="1" x14ac:dyDescent="0.3">
      <c r="A27" s="9"/>
      <c r="B27" s="4" t="s">
        <v>24</v>
      </c>
      <c r="C27" s="5" t="s">
        <v>164</v>
      </c>
      <c r="D27" s="4" t="s">
        <v>144</v>
      </c>
      <c r="E27" s="4">
        <v>3</v>
      </c>
      <c r="F27" s="4">
        <v>2200</v>
      </c>
      <c r="G27" s="5">
        <f t="shared" si="0"/>
        <v>6600</v>
      </c>
      <c r="H27" s="5">
        <f t="shared" si="1"/>
        <v>2200</v>
      </c>
      <c r="I27" s="5">
        <f t="shared" si="2"/>
        <v>3</v>
      </c>
    </row>
    <row r="28" spans="1:9" ht="21" customHeight="1" x14ac:dyDescent="0.3">
      <c r="A28" s="9"/>
      <c r="B28" s="7" t="s">
        <v>25</v>
      </c>
      <c r="C28" s="7" t="s">
        <v>167</v>
      </c>
      <c r="D28" s="7" t="s">
        <v>145</v>
      </c>
      <c r="E28" s="7">
        <v>2</v>
      </c>
      <c r="F28" s="7">
        <v>20000</v>
      </c>
      <c r="G28" s="8">
        <f t="shared" si="0"/>
        <v>40000</v>
      </c>
      <c r="H28" s="8">
        <f t="shared" si="1"/>
        <v>20000</v>
      </c>
      <c r="I28" s="8">
        <f t="shared" si="2"/>
        <v>2</v>
      </c>
    </row>
    <row r="29" spans="1:9" ht="21" customHeight="1" x14ac:dyDescent="0.3">
      <c r="A29" s="9"/>
      <c r="B29" s="4" t="s">
        <v>26</v>
      </c>
      <c r="C29" s="5" t="s">
        <v>166</v>
      </c>
      <c r="D29" s="4" t="s">
        <v>146</v>
      </c>
      <c r="E29" s="4">
        <v>2</v>
      </c>
      <c r="F29" s="4">
        <v>1000</v>
      </c>
      <c r="G29" s="5">
        <f t="shared" si="0"/>
        <v>2000</v>
      </c>
      <c r="H29" s="5">
        <f t="shared" si="1"/>
        <v>1000</v>
      </c>
      <c r="I29" s="5">
        <f t="shared" si="2"/>
        <v>2</v>
      </c>
    </row>
    <row r="30" spans="1:9" ht="21" customHeight="1" x14ac:dyDescent="0.3">
      <c r="A30" s="9"/>
      <c r="B30" s="7" t="s">
        <v>27</v>
      </c>
      <c r="C30" s="7" t="s">
        <v>167</v>
      </c>
      <c r="D30" s="7" t="s">
        <v>142</v>
      </c>
      <c r="E30" s="7">
        <v>5</v>
      </c>
      <c r="F30" s="7">
        <v>30000</v>
      </c>
      <c r="G30" s="8">
        <f t="shared" si="0"/>
        <v>150000</v>
      </c>
      <c r="H30" s="8">
        <f t="shared" si="1"/>
        <v>30000</v>
      </c>
      <c r="I30" s="8">
        <f t="shared" si="2"/>
        <v>5</v>
      </c>
    </row>
    <row r="31" spans="1:9" ht="21" customHeight="1" x14ac:dyDescent="0.3">
      <c r="A31" s="9"/>
      <c r="B31" s="4" t="s">
        <v>28</v>
      </c>
      <c r="C31" s="5" t="s">
        <v>161</v>
      </c>
      <c r="D31" s="4" t="s">
        <v>147</v>
      </c>
      <c r="E31" s="4">
        <v>4</v>
      </c>
      <c r="F31" s="4">
        <v>2500</v>
      </c>
      <c r="G31" s="5">
        <f t="shared" si="0"/>
        <v>10000</v>
      </c>
      <c r="H31" s="5">
        <f t="shared" si="1"/>
        <v>2500</v>
      </c>
      <c r="I31" s="5">
        <f t="shared" si="2"/>
        <v>4</v>
      </c>
    </row>
    <row r="32" spans="1:9" ht="21" customHeight="1" x14ac:dyDescent="0.3">
      <c r="A32" s="9"/>
      <c r="B32" s="7" t="s">
        <v>29</v>
      </c>
      <c r="C32" s="7" t="s">
        <v>163</v>
      </c>
      <c r="D32" s="7" t="s">
        <v>135</v>
      </c>
      <c r="E32" s="7">
        <v>2</v>
      </c>
      <c r="F32" s="7">
        <v>5000</v>
      </c>
      <c r="G32" s="8">
        <f t="shared" si="0"/>
        <v>10000</v>
      </c>
      <c r="H32" s="8">
        <f t="shared" si="1"/>
        <v>5000</v>
      </c>
      <c r="I32" s="8">
        <f t="shared" si="2"/>
        <v>2</v>
      </c>
    </row>
    <row r="33" spans="1:9" ht="21" customHeight="1" x14ac:dyDescent="0.3">
      <c r="A33" s="9"/>
      <c r="B33" s="4" t="s">
        <v>30</v>
      </c>
      <c r="C33" s="5" t="s">
        <v>161</v>
      </c>
      <c r="D33" s="4" t="s">
        <v>137</v>
      </c>
      <c r="E33" s="4">
        <v>1</v>
      </c>
      <c r="F33" s="4">
        <v>2500</v>
      </c>
      <c r="G33" s="5">
        <f t="shared" si="0"/>
        <v>2500</v>
      </c>
      <c r="H33" s="5">
        <f t="shared" si="1"/>
        <v>2500</v>
      </c>
      <c r="I33" s="5">
        <f t="shared" si="2"/>
        <v>1</v>
      </c>
    </row>
    <row r="34" spans="1:9" ht="21" customHeight="1" x14ac:dyDescent="0.3">
      <c r="A34" s="9"/>
      <c r="B34" s="7" t="s">
        <v>31</v>
      </c>
      <c r="C34" s="7" t="s">
        <v>165</v>
      </c>
      <c r="D34" s="7" t="s">
        <v>137</v>
      </c>
      <c r="E34" s="7">
        <v>4</v>
      </c>
      <c r="F34" s="7">
        <v>2500</v>
      </c>
      <c r="G34" s="8">
        <f t="shared" si="0"/>
        <v>10000</v>
      </c>
      <c r="H34" s="8">
        <f t="shared" si="1"/>
        <v>2500</v>
      </c>
      <c r="I34" s="8">
        <f t="shared" si="2"/>
        <v>4</v>
      </c>
    </row>
    <row r="35" spans="1:9" ht="21" customHeight="1" x14ac:dyDescent="0.3">
      <c r="A35" s="9"/>
      <c r="B35" s="4" t="s">
        <v>32</v>
      </c>
      <c r="C35" s="5" t="s">
        <v>169</v>
      </c>
      <c r="D35" s="4" t="s">
        <v>136</v>
      </c>
      <c r="E35" s="4">
        <v>5</v>
      </c>
      <c r="F35" s="4">
        <v>800</v>
      </c>
      <c r="G35" s="5">
        <f t="shared" si="0"/>
        <v>4000</v>
      </c>
      <c r="H35" s="5">
        <f t="shared" si="1"/>
        <v>800</v>
      </c>
      <c r="I35" s="5">
        <f t="shared" si="2"/>
        <v>5</v>
      </c>
    </row>
    <row r="36" spans="1:9" ht="21" customHeight="1" x14ac:dyDescent="0.3">
      <c r="A36" s="9"/>
      <c r="B36" s="7" t="s">
        <v>33</v>
      </c>
      <c r="C36" s="7" t="s">
        <v>161</v>
      </c>
      <c r="D36" s="7" t="s">
        <v>146</v>
      </c>
      <c r="E36" s="7">
        <v>5</v>
      </c>
      <c r="F36" s="7">
        <v>1000</v>
      </c>
      <c r="G36" s="8">
        <f t="shared" si="0"/>
        <v>5000</v>
      </c>
      <c r="H36" s="8">
        <f t="shared" si="1"/>
        <v>1000</v>
      </c>
      <c r="I36" s="8">
        <f t="shared" si="2"/>
        <v>5</v>
      </c>
    </row>
    <row r="37" spans="1:9" ht="21" customHeight="1" x14ac:dyDescent="0.3">
      <c r="A37" s="9"/>
      <c r="B37" s="4" t="s">
        <v>34</v>
      </c>
      <c r="C37" s="5" t="s">
        <v>165</v>
      </c>
      <c r="D37" s="4" t="s">
        <v>147</v>
      </c>
      <c r="E37" s="4">
        <v>4</v>
      </c>
      <c r="F37" s="4">
        <v>2500</v>
      </c>
      <c r="G37" s="5">
        <f t="shared" si="0"/>
        <v>10000</v>
      </c>
      <c r="H37" s="5">
        <f t="shared" si="1"/>
        <v>2500</v>
      </c>
      <c r="I37" s="5">
        <f t="shared" si="2"/>
        <v>4</v>
      </c>
    </row>
    <row r="38" spans="1:9" ht="21" customHeight="1" x14ac:dyDescent="0.3">
      <c r="A38" s="9"/>
      <c r="B38" s="7" t="s">
        <v>35</v>
      </c>
      <c r="C38" s="7" t="s">
        <v>166</v>
      </c>
      <c r="D38" s="7" t="s">
        <v>138</v>
      </c>
      <c r="E38" s="7">
        <v>2</v>
      </c>
      <c r="F38" s="7">
        <v>3500</v>
      </c>
      <c r="G38" s="8">
        <f t="shared" si="0"/>
        <v>7000</v>
      </c>
      <c r="H38" s="8">
        <f t="shared" si="1"/>
        <v>3500</v>
      </c>
      <c r="I38" s="8">
        <f t="shared" si="2"/>
        <v>2</v>
      </c>
    </row>
    <row r="39" spans="1:9" ht="21" customHeight="1" x14ac:dyDescent="0.3">
      <c r="A39" s="9"/>
      <c r="B39" s="4" t="s">
        <v>36</v>
      </c>
      <c r="C39" s="5" t="s">
        <v>164</v>
      </c>
      <c r="D39" s="4" t="s">
        <v>145</v>
      </c>
      <c r="E39" s="4">
        <v>5</v>
      </c>
      <c r="F39" s="4">
        <v>20000</v>
      </c>
      <c r="G39" s="5">
        <f t="shared" si="0"/>
        <v>100000</v>
      </c>
      <c r="H39" s="5">
        <f t="shared" si="1"/>
        <v>20000</v>
      </c>
      <c r="I39" s="5">
        <f t="shared" si="2"/>
        <v>5</v>
      </c>
    </row>
    <row r="40" spans="1:9" ht="21" customHeight="1" x14ac:dyDescent="0.3">
      <c r="A40" s="9"/>
      <c r="B40" s="7" t="s">
        <v>37</v>
      </c>
      <c r="C40" s="7" t="s">
        <v>167</v>
      </c>
      <c r="D40" s="7" t="s">
        <v>142</v>
      </c>
      <c r="E40" s="7">
        <v>2</v>
      </c>
      <c r="F40" s="7">
        <v>30000</v>
      </c>
      <c r="G40" s="8">
        <f t="shared" si="0"/>
        <v>60000</v>
      </c>
      <c r="H40" s="8">
        <f t="shared" si="1"/>
        <v>30000</v>
      </c>
      <c r="I40" s="8">
        <f t="shared" si="2"/>
        <v>2</v>
      </c>
    </row>
    <row r="41" spans="1:9" ht="21" customHeight="1" x14ac:dyDescent="0.3">
      <c r="A41" s="9"/>
      <c r="B41" s="4" t="s">
        <v>38</v>
      </c>
      <c r="C41" s="5" t="s">
        <v>163</v>
      </c>
      <c r="D41" s="4" t="s">
        <v>138</v>
      </c>
      <c r="E41" s="4">
        <v>3</v>
      </c>
      <c r="F41" s="4">
        <v>3500</v>
      </c>
      <c r="G41" s="5">
        <f t="shared" si="0"/>
        <v>10500</v>
      </c>
      <c r="H41" s="5">
        <f t="shared" si="1"/>
        <v>3500</v>
      </c>
      <c r="I41" s="5">
        <f t="shared" si="2"/>
        <v>3</v>
      </c>
    </row>
    <row r="42" spans="1:9" ht="21" customHeight="1" x14ac:dyDescent="0.3">
      <c r="A42" s="9"/>
      <c r="B42" s="7" t="s">
        <v>39</v>
      </c>
      <c r="C42" s="7" t="s">
        <v>167</v>
      </c>
      <c r="D42" s="7" t="s">
        <v>139</v>
      </c>
      <c r="E42" s="7">
        <v>1</v>
      </c>
      <c r="F42" s="7">
        <v>700</v>
      </c>
      <c r="G42" s="8">
        <f t="shared" si="0"/>
        <v>700</v>
      </c>
      <c r="H42" s="8">
        <f t="shared" si="1"/>
        <v>700</v>
      </c>
      <c r="I42" s="8">
        <f t="shared" si="2"/>
        <v>1</v>
      </c>
    </row>
    <row r="43" spans="1:9" ht="21" customHeight="1" x14ac:dyDescent="0.3">
      <c r="A43" s="9"/>
      <c r="B43" s="4" t="s">
        <v>40</v>
      </c>
      <c r="C43" s="5" t="s">
        <v>166</v>
      </c>
      <c r="D43" s="4" t="s">
        <v>135</v>
      </c>
      <c r="E43" s="4">
        <v>1</v>
      </c>
      <c r="F43" s="4">
        <v>5000</v>
      </c>
      <c r="G43" s="5">
        <f t="shared" si="0"/>
        <v>5000</v>
      </c>
      <c r="H43" s="5">
        <f t="shared" si="1"/>
        <v>5000</v>
      </c>
      <c r="I43" s="5">
        <f t="shared" si="2"/>
        <v>1</v>
      </c>
    </row>
    <row r="44" spans="1:9" ht="21" customHeight="1" x14ac:dyDescent="0.3">
      <c r="A44" s="9"/>
      <c r="B44" s="7" t="s">
        <v>41</v>
      </c>
      <c r="C44" s="7" t="s">
        <v>169</v>
      </c>
      <c r="D44" s="7" t="s">
        <v>146</v>
      </c>
      <c r="E44" s="7">
        <v>1</v>
      </c>
      <c r="F44" s="7">
        <v>1000</v>
      </c>
      <c r="G44" s="8">
        <f t="shared" si="0"/>
        <v>1000</v>
      </c>
      <c r="H44" s="8">
        <f t="shared" si="1"/>
        <v>1000</v>
      </c>
      <c r="I44" s="8">
        <f t="shared" si="2"/>
        <v>1</v>
      </c>
    </row>
    <row r="45" spans="1:9" ht="21" customHeight="1" x14ac:dyDescent="0.3">
      <c r="A45" s="9"/>
      <c r="B45" s="4" t="s">
        <v>5</v>
      </c>
      <c r="C45" s="5" t="s">
        <v>164</v>
      </c>
      <c r="D45" s="4" t="s">
        <v>142</v>
      </c>
      <c r="E45" s="4">
        <v>4</v>
      </c>
      <c r="F45" s="4">
        <v>30000</v>
      </c>
      <c r="G45" s="5">
        <f t="shared" si="0"/>
        <v>120000</v>
      </c>
      <c r="H45" s="5">
        <f t="shared" si="1"/>
        <v>30000</v>
      </c>
      <c r="I45" s="5">
        <f t="shared" si="2"/>
        <v>4</v>
      </c>
    </row>
    <row r="46" spans="1:9" ht="21" customHeight="1" x14ac:dyDescent="0.3">
      <c r="A46" s="9"/>
      <c r="B46" s="7" t="s">
        <v>42</v>
      </c>
      <c r="C46" s="7" t="s">
        <v>164</v>
      </c>
      <c r="D46" s="7" t="s">
        <v>144</v>
      </c>
      <c r="E46" s="7">
        <v>3</v>
      </c>
      <c r="F46" s="7">
        <v>2200</v>
      </c>
      <c r="G46" s="8">
        <f t="shared" si="0"/>
        <v>6600</v>
      </c>
      <c r="H46" s="8">
        <f t="shared" si="1"/>
        <v>2200</v>
      </c>
      <c r="I46" s="8">
        <f t="shared" si="2"/>
        <v>3</v>
      </c>
    </row>
    <row r="47" spans="1:9" ht="21" customHeight="1" x14ac:dyDescent="0.3">
      <c r="A47" s="9"/>
      <c r="B47" s="4" t="s">
        <v>43</v>
      </c>
      <c r="C47" s="5" t="s">
        <v>165</v>
      </c>
      <c r="D47" s="4" t="s">
        <v>136</v>
      </c>
      <c r="E47" s="4">
        <v>5</v>
      </c>
      <c r="F47" s="4">
        <v>800</v>
      </c>
      <c r="G47" s="5">
        <f t="shared" si="0"/>
        <v>4000</v>
      </c>
      <c r="H47" s="5">
        <f t="shared" si="1"/>
        <v>800</v>
      </c>
      <c r="I47" s="5">
        <f t="shared" si="2"/>
        <v>5</v>
      </c>
    </row>
    <row r="48" spans="1:9" ht="21" customHeight="1" x14ac:dyDescent="0.3">
      <c r="A48" s="9"/>
      <c r="B48" s="7" t="s">
        <v>44</v>
      </c>
      <c r="C48" s="7" t="s">
        <v>169</v>
      </c>
      <c r="D48" s="7" t="s">
        <v>137</v>
      </c>
      <c r="E48" s="7">
        <v>2</v>
      </c>
      <c r="F48" s="7">
        <v>2500</v>
      </c>
      <c r="G48" s="8">
        <f t="shared" si="0"/>
        <v>5000</v>
      </c>
      <c r="H48" s="8">
        <f t="shared" si="1"/>
        <v>2500</v>
      </c>
      <c r="I48" s="8">
        <f t="shared" si="2"/>
        <v>2</v>
      </c>
    </row>
    <row r="49" spans="1:9" ht="21" customHeight="1" x14ac:dyDescent="0.3">
      <c r="A49" s="9"/>
      <c r="B49" s="4" t="s">
        <v>41</v>
      </c>
      <c r="C49" s="5" t="s">
        <v>169</v>
      </c>
      <c r="D49" s="4" t="s">
        <v>147</v>
      </c>
      <c r="E49" s="4">
        <v>2</v>
      </c>
      <c r="F49" s="4">
        <v>2500</v>
      </c>
      <c r="G49" s="5">
        <f t="shared" si="0"/>
        <v>5000</v>
      </c>
      <c r="H49" s="5">
        <f t="shared" si="1"/>
        <v>2500</v>
      </c>
      <c r="I49" s="5">
        <f t="shared" si="2"/>
        <v>2</v>
      </c>
    </row>
    <row r="50" spans="1:9" ht="21" customHeight="1" x14ac:dyDescent="0.3">
      <c r="A50" s="9"/>
      <c r="B50" s="7" t="s">
        <v>4</v>
      </c>
      <c r="C50" s="7" t="s">
        <v>163</v>
      </c>
      <c r="D50" s="7" t="s">
        <v>134</v>
      </c>
      <c r="E50" s="7">
        <v>4</v>
      </c>
      <c r="F50" s="7">
        <v>12000</v>
      </c>
      <c r="G50" s="8">
        <f t="shared" si="0"/>
        <v>48000</v>
      </c>
      <c r="H50" s="8">
        <f t="shared" si="1"/>
        <v>12000</v>
      </c>
      <c r="I50" s="8">
        <f t="shared" si="2"/>
        <v>4</v>
      </c>
    </row>
    <row r="51" spans="1:9" ht="21" customHeight="1" x14ac:dyDescent="0.3">
      <c r="A51" s="9"/>
      <c r="B51" s="4" t="s">
        <v>45</v>
      </c>
      <c r="C51" s="5" t="s">
        <v>163</v>
      </c>
      <c r="D51" s="4" t="s">
        <v>147</v>
      </c>
      <c r="E51" s="4">
        <v>3</v>
      </c>
      <c r="F51" s="4">
        <v>2500</v>
      </c>
      <c r="G51" s="5">
        <f t="shared" si="0"/>
        <v>7500</v>
      </c>
      <c r="H51" s="5">
        <f t="shared" si="1"/>
        <v>2500</v>
      </c>
      <c r="I51" s="5">
        <f t="shared" si="2"/>
        <v>3</v>
      </c>
    </row>
    <row r="52" spans="1:9" ht="21" customHeight="1" x14ac:dyDescent="0.3">
      <c r="A52" s="9"/>
      <c r="B52" s="7" t="s">
        <v>46</v>
      </c>
      <c r="C52" s="7" t="s">
        <v>164</v>
      </c>
      <c r="D52" s="7" t="s">
        <v>136</v>
      </c>
      <c r="E52" s="7">
        <v>2</v>
      </c>
      <c r="F52" s="7">
        <v>800</v>
      </c>
      <c r="G52" s="8">
        <f t="shared" si="0"/>
        <v>1600</v>
      </c>
      <c r="H52" s="8">
        <f t="shared" si="1"/>
        <v>800</v>
      </c>
      <c r="I52" s="8">
        <f t="shared" si="2"/>
        <v>2</v>
      </c>
    </row>
    <row r="53" spans="1:9" ht="21" customHeight="1" x14ac:dyDescent="0.3">
      <c r="A53" s="9"/>
      <c r="B53" s="4" t="s">
        <v>47</v>
      </c>
      <c r="C53" s="5" t="s">
        <v>166</v>
      </c>
      <c r="D53" s="4" t="s">
        <v>137</v>
      </c>
      <c r="E53" s="4">
        <v>2</v>
      </c>
      <c r="F53" s="4">
        <v>2500</v>
      </c>
      <c r="G53" s="5">
        <f t="shared" si="0"/>
        <v>5000</v>
      </c>
      <c r="H53" s="5">
        <f t="shared" si="1"/>
        <v>2500</v>
      </c>
      <c r="I53" s="5">
        <f t="shared" si="2"/>
        <v>2</v>
      </c>
    </row>
    <row r="54" spans="1:9" ht="21" customHeight="1" x14ac:dyDescent="0.3">
      <c r="A54" s="9"/>
      <c r="B54" s="7" t="s">
        <v>48</v>
      </c>
      <c r="C54" s="7" t="s">
        <v>162</v>
      </c>
      <c r="D54" s="7" t="s">
        <v>138</v>
      </c>
      <c r="E54" s="7">
        <v>1</v>
      </c>
      <c r="F54" s="7">
        <v>3500</v>
      </c>
      <c r="G54" s="8">
        <f t="shared" si="0"/>
        <v>3500</v>
      </c>
      <c r="H54" s="8">
        <f t="shared" si="1"/>
        <v>3500</v>
      </c>
      <c r="I54" s="8">
        <f t="shared" si="2"/>
        <v>1</v>
      </c>
    </row>
    <row r="55" spans="1:9" ht="21" customHeight="1" x14ac:dyDescent="0.3">
      <c r="A55" s="9"/>
      <c r="B55" s="4" t="s">
        <v>49</v>
      </c>
      <c r="C55" s="5" t="s">
        <v>164</v>
      </c>
      <c r="D55" s="4" t="s">
        <v>148</v>
      </c>
      <c r="E55" s="4">
        <v>1</v>
      </c>
      <c r="F55" s="4">
        <v>3000</v>
      </c>
      <c r="G55" s="5">
        <f t="shared" si="0"/>
        <v>3000</v>
      </c>
      <c r="H55" s="5">
        <f t="shared" si="1"/>
        <v>3000</v>
      </c>
      <c r="I55" s="5">
        <f t="shared" si="2"/>
        <v>1</v>
      </c>
    </row>
    <row r="56" spans="1:9" ht="21" customHeight="1" x14ac:dyDescent="0.3">
      <c r="A56" s="9"/>
      <c r="B56" s="7" t="s">
        <v>50</v>
      </c>
      <c r="C56" s="7" t="s">
        <v>168</v>
      </c>
      <c r="D56" s="7" t="s">
        <v>143</v>
      </c>
      <c r="E56" s="7">
        <v>2</v>
      </c>
      <c r="F56" s="7">
        <v>600</v>
      </c>
      <c r="G56" s="8">
        <f t="shared" si="0"/>
        <v>1200</v>
      </c>
      <c r="H56" s="8">
        <f t="shared" si="1"/>
        <v>600</v>
      </c>
      <c r="I56" s="8">
        <f t="shared" si="2"/>
        <v>2</v>
      </c>
    </row>
    <row r="57" spans="1:9" ht="21" customHeight="1" x14ac:dyDescent="0.3">
      <c r="A57" s="9"/>
      <c r="B57" s="4" t="s">
        <v>51</v>
      </c>
      <c r="C57" s="5" t="s">
        <v>162</v>
      </c>
      <c r="D57" s="4" t="s">
        <v>135</v>
      </c>
      <c r="E57" s="4">
        <v>3</v>
      </c>
      <c r="F57" s="4">
        <v>5000</v>
      </c>
      <c r="G57" s="5">
        <f t="shared" si="0"/>
        <v>15000</v>
      </c>
      <c r="H57" s="5">
        <f t="shared" si="1"/>
        <v>5000</v>
      </c>
      <c r="I57" s="5">
        <f t="shared" si="2"/>
        <v>3</v>
      </c>
    </row>
    <row r="58" spans="1:9" ht="21" customHeight="1" x14ac:dyDescent="0.3">
      <c r="A58" s="9"/>
      <c r="B58" s="7" t="s">
        <v>52</v>
      </c>
      <c r="C58" s="7" t="s">
        <v>167</v>
      </c>
      <c r="D58" s="7" t="s">
        <v>134</v>
      </c>
      <c r="E58" s="7">
        <v>1</v>
      </c>
      <c r="F58" s="7">
        <v>12000</v>
      </c>
      <c r="G58" s="8">
        <f t="shared" si="0"/>
        <v>12000</v>
      </c>
      <c r="H58" s="8">
        <f t="shared" si="1"/>
        <v>12000</v>
      </c>
      <c r="I58" s="8">
        <f t="shared" si="2"/>
        <v>1</v>
      </c>
    </row>
    <row r="59" spans="1:9" ht="21" customHeight="1" x14ac:dyDescent="0.3">
      <c r="A59" s="9"/>
      <c r="B59" s="4" t="s">
        <v>53</v>
      </c>
      <c r="C59" s="5" t="s">
        <v>168</v>
      </c>
      <c r="D59" s="4" t="s">
        <v>137</v>
      </c>
      <c r="E59" s="4">
        <v>3</v>
      </c>
      <c r="F59" s="4">
        <v>2500</v>
      </c>
      <c r="G59" s="5">
        <f t="shared" si="0"/>
        <v>7500</v>
      </c>
      <c r="H59" s="5">
        <f t="shared" si="1"/>
        <v>2500</v>
      </c>
      <c r="I59" s="5">
        <f t="shared" si="2"/>
        <v>3</v>
      </c>
    </row>
    <row r="60" spans="1:9" ht="21" customHeight="1" x14ac:dyDescent="0.3">
      <c r="A60" s="9"/>
      <c r="B60" s="7" t="s">
        <v>54</v>
      </c>
      <c r="C60" s="7" t="s">
        <v>168</v>
      </c>
      <c r="D60" s="7" t="s">
        <v>146</v>
      </c>
      <c r="E60" s="7">
        <v>1</v>
      </c>
      <c r="F60" s="7">
        <v>1000</v>
      </c>
      <c r="G60" s="8">
        <f t="shared" si="0"/>
        <v>1000</v>
      </c>
      <c r="H60" s="8">
        <f t="shared" si="1"/>
        <v>1000</v>
      </c>
      <c r="I60" s="8">
        <f t="shared" si="2"/>
        <v>1</v>
      </c>
    </row>
    <row r="61" spans="1:9" ht="21" customHeight="1" x14ac:dyDescent="0.3">
      <c r="A61" s="9"/>
      <c r="B61" s="4" t="s">
        <v>55</v>
      </c>
      <c r="C61" s="5" t="s">
        <v>169</v>
      </c>
      <c r="D61" s="4" t="s">
        <v>143</v>
      </c>
      <c r="E61" s="4">
        <v>1</v>
      </c>
      <c r="F61" s="4">
        <v>600</v>
      </c>
      <c r="G61" s="5">
        <f t="shared" si="0"/>
        <v>600</v>
      </c>
      <c r="H61" s="5">
        <f t="shared" si="1"/>
        <v>600</v>
      </c>
      <c r="I61" s="5">
        <f t="shared" si="2"/>
        <v>1</v>
      </c>
    </row>
    <row r="62" spans="1:9" ht="21" customHeight="1" x14ac:dyDescent="0.3">
      <c r="A62" s="9"/>
      <c r="B62" s="7" t="s">
        <v>56</v>
      </c>
      <c r="C62" s="7" t="s">
        <v>163</v>
      </c>
      <c r="D62" s="7" t="s">
        <v>141</v>
      </c>
      <c r="E62" s="7">
        <v>1</v>
      </c>
      <c r="F62" s="7">
        <v>55000</v>
      </c>
      <c r="G62" s="8">
        <f t="shared" si="0"/>
        <v>55000</v>
      </c>
      <c r="H62" s="8">
        <f t="shared" si="1"/>
        <v>55000</v>
      </c>
      <c r="I62" s="8">
        <f t="shared" si="2"/>
        <v>1</v>
      </c>
    </row>
    <row r="63" spans="1:9" ht="21" customHeight="1" x14ac:dyDescent="0.3">
      <c r="A63" s="9"/>
      <c r="B63" s="4" t="s">
        <v>57</v>
      </c>
      <c r="C63" s="5" t="s">
        <v>167</v>
      </c>
      <c r="D63" s="4" t="s">
        <v>147</v>
      </c>
      <c r="E63" s="4">
        <v>4</v>
      </c>
      <c r="F63" s="4">
        <v>2500</v>
      </c>
      <c r="G63" s="5">
        <f t="shared" si="0"/>
        <v>10000</v>
      </c>
      <c r="H63" s="5">
        <f t="shared" si="1"/>
        <v>2500</v>
      </c>
      <c r="I63" s="5">
        <f t="shared" si="2"/>
        <v>4</v>
      </c>
    </row>
    <row r="64" spans="1:9" ht="21" customHeight="1" x14ac:dyDescent="0.3">
      <c r="A64" s="9"/>
      <c r="B64" s="7" t="s">
        <v>58</v>
      </c>
      <c r="C64" s="7" t="s">
        <v>169</v>
      </c>
      <c r="D64" s="7" t="s">
        <v>146</v>
      </c>
      <c r="E64" s="7">
        <v>4</v>
      </c>
      <c r="F64" s="7">
        <v>1000</v>
      </c>
      <c r="G64" s="8">
        <f t="shared" si="0"/>
        <v>4000</v>
      </c>
      <c r="H64" s="8">
        <f t="shared" si="1"/>
        <v>1000</v>
      </c>
      <c r="I64" s="8">
        <f t="shared" si="2"/>
        <v>4</v>
      </c>
    </row>
    <row r="65" spans="1:9" ht="21" customHeight="1" x14ac:dyDescent="0.3">
      <c r="A65" s="9"/>
      <c r="B65" s="4" t="s">
        <v>59</v>
      </c>
      <c r="C65" s="5" t="s">
        <v>162</v>
      </c>
      <c r="D65" s="4" t="s">
        <v>147</v>
      </c>
      <c r="E65" s="4">
        <v>5</v>
      </c>
      <c r="F65" s="4">
        <v>2500</v>
      </c>
      <c r="G65" s="5">
        <f t="shared" si="0"/>
        <v>12500</v>
      </c>
      <c r="H65" s="5">
        <f t="shared" si="1"/>
        <v>2500</v>
      </c>
      <c r="I65" s="5">
        <f t="shared" si="2"/>
        <v>5</v>
      </c>
    </row>
    <row r="66" spans="1:9" ht="21" customHeight="1" x14ac:dyDescent="0.3">
      <c r="A66" s="9"/>
      <c r="B66" s="7" t="s">
        <v>60</v>
      </c>
      <c r="C66" s="7" t="s">
        <v>161</v>
      </c>
      <c r="D66" s="7" t="s">
        <v>142</v>
      </c>
      <c r="E66" s="7">
        <v>4</v>
      </c>
      <c r="F66" s="7">
        <v>30000</v>
      </c>
      <c r="G66" s="8">
        <f t="shared" si="0"/>
        <v>120000</v>
      </c>
      <c r="H66" s="8">
        <f t="shared" si="1"/>
        <v>30000</v>
      </c>
      <c r="I66" s="8">
        <f t="shared" si="2"/>
        <v>4</v>
      </c>
    </row>
    <row r="67" spans="1:9" ht="21" customHeight="1" x14ac:dyDescent="0.3">
      <c r="A67" s="9"/>
      <c r="B67" s="4" t="s">
        <v>61</v>
      </c>
      <c r="C67" s="5" t="s">
        <v>165</v>
      </c>
      <c r="D67" s="4" t="s">
        <v>147</v>
      </c>
      <c r="E67" s="4">
        <v>5</v>
      </c>
      <c r="F67" s="4">
        <v>2500</v>
      </c>
      <c r="G67" s="5">
        <f t="shared" si="0"/>
        <v>12500</v>
      </c>
      <c r="H67" s="5">
        <f t="shared" si="1"/>
        <v>2500</v>
      </c>
      <c r="I67" s="5">
        <f t="shared" si="2"/>
        <v>5</v>
      </c>
    </row>
    <row r="68" spans="1:9" ht="21" customHeight="1" x14ac:dyDescent="0.3">
      <c r="A68" s="9"/>
      <c r="B68" s="7" t="s">
        <v>62</v>
      </c>
      <c r="C68" s="7" t="s">
        <v>169</v>
      </c>
      <c r="D68" s="7" t="s">
        <v>141</v>
      </c>
      <c r="E68" s="7">
        <v>5</v>
      </c>
      <c r="F68" s="7">
        <v>55000</v>
      </c>
      <c r="G68" s="8">
        <f t="shared" ref="G68:G131" si="3">SUMPRODUCT(E68*F68)</f>
        <v>275000</v>
      </c>
      <c r="H68" s="8">
        <f t="shared" ref="H68:H131" si="4">G68/E68</f>
        <v>55000</v>
      </c>
      <c r="I68" s="8">
        <f t="shared" ref="I68:I131" si="5">SUM(E68)</f>
        <v>5</v>
      </c>
    </row>
    <row r="69" spans="1:9" ht="21" customHeight="1" x14ac:dyDescent="0.3">
      <c r="A69" s="9"/>
      <c r="B69" s="4" t="s">
        <v>63</v>
      </c>
      <c r="C69" s="5" t="s">
        <v>162</v>
      </c>
      <c r="D69" s="4" t="s">
        <v>144</v>
      </c>
      <c r="E69" s="4">
        <v>3</v>
      </c>
      <c r="F69" s="4">
        <v>2200</v>
      </c>
      <c r="G69" s="5">
        <f t="shared" si="3"/>
        <v>6600</v>
      </c>
      <c r="H69" s="5">
        <f t="shared" si="4"/>
        <v>2200</v>
      </c>
      <c r="I69" s="5">
        <f t="shared" si="5"/>
        <v>3</v>
      </c>
    </row>
    <row r="70" spans="1:9" ht="21" customHeight="1" x14ac:dyDescent="0.3">
      <c r="A70" s="9"/>
      <c r="B70" s="7" t="s">
        <v>29</v>
      </c>
      <c r="C70" s="7" t="s">
        <v>163</v>
      </c>
      <c r="D70" s="7" t="s">
        <v>137</v>
      </c>
      <c r="E70" s="7">
        <v>1</v>
      </c>
      <c r="F70" s="7">
        <v>2500</v>
      </c>
      <c r="G70" s="8">
        <f t="shared" si="3"/>
        <v>2500</v>
      </c>
      <c r="H70" s="8">
        <f t="shared" si="4"/>
        <v>2500</v>
      </c>
      <c r="I70" s="8">
        <f t="shared" si="5"/>
        <v>1</v>
      </c>
    </row>
    <row r="71" spans="1:9" ht="21" customHeight="1" x14ac:dyDescent="0.3">
      <c r="A71" s="9"/>
      <c r="B71" s="4" t="s">
        <v>10</v>
      </c>
      <c r="C71" s="5" t="s">
        <v>165</v>
      </c>
      <c r="D71" s="4" t="s">
        <v>142</v>
      </c>
      <c r="E71" s="4">
        <v>2</v>
      </c>
      <c r="F71" s="4">
        <v>30000</v>
      </c>
      <c r="G71" s="5">
        <f t="shared" si="3"/>
        <v>60000</v>
      </c>
      <c r="H71" s="5">
        <f t="shared" si="4"/>
        <v>30000</v>
      </c>
      <c r="I71" s="5">
        <f t="shared" si="5"/>
        <v>2</v>
      </c>
    </row>
    <row r="72" spans="1:9" ht="21" customHeight="1" x14ac:dyDescent="0.3">
      <c r="A72" s="9"/>
      <c r="B72" s="7" t="s">
        <v>64</v>
      </c>
      <c r="C72" s="7" t="s">
        <v>167</v>
      </c>
      <c r="D72" s="7" t="s">
        <v>139</v>
      </c>
      <c r="E72" s="7">
        <v>1</v>
      </c>
      <c r="F72" s="7">
        <v>700</v>
      </c>
      <c r="G72" s="8">
        <f t="shared" si="3"/>
        <v>700</v>
      </c>
      <c r="H72" s="8">
        <f t="shared" si="4"/>
        <v>700</v>
      </c>
      <c r="I72" s="8">
        <f t="shared" si="5"/>
        <v>1</v>
      </c>
    </row>
    <row r="73" spans="1:9" ht="21" customHeight="1" x14ac:dyDescent="0.3">
      <c r="A73" s="9"/>
      <c r="B73" s="4" t="s">
        <v>65</v>
      </c>
      <c r="C73" s="5" t="s">
        <v>166</v>
      </c>
      <c r="D73" s="4" t="s">
        <v>135</v>
      </c>
      <c r="E73" s="4">
        <v>2</v>
      </c>
      <c r="F73" s="4">
        <v>5000</v>
      </c>
      <c r="G73" s="5">
        <f t="shared" si="3"/>
        <v>10000</v>
      </c>
      <c r="H73" s="5">
        <f t="shared" si="4"/>
        <v>5000</v>
      </c>
      <c r="I73" s="5">
        <f t="shared" si="5"/>
        <v>2</v>
      </c>
    </row>
    <row r="74" spans="1:9" ht="21" customHeight="1" x14ac:dyDescent="0.3">
      <c r="A74" s="9"/>
      <c r="B74" s="7" t="s">
        <v>66</v>
      </c>
      <c r="C74" s="7" t="s">
        <v>168</v>
      </c>
      <c r="D74" s="7" t="s">
        <v>140</v>
      </c>
      <c r="E74" s="7">
        <v>5</v>
      </c>
      <c r="F74" s="7">
        <v>8500</v>
      </c>
      <c r="G74" s="8">
        <f t="shared" si="3"/>
        <v>42500</v>
      </c>
      <c r="H74" s="8">
        <f t="shared" si="4"/>
        <v>8500</v>
      </c>
      <c r="I74" s="8">
        <f t="shared" si="5"/>
        <v>5</v>
      </c>
    </row>
    <row r="75" spans="1:9" ht="21" customHeight="1" x14ac:dyDescent="0.3">
      <c r="A75" s="9"/>
      <c r="B75" s="4" t="s">
        <v>67</v>
      </c>
      <c r="C75" s="5" t="s">
        <v>169</v>
      </c>
      <c r="D75" s="4" t="s">
        <v>147</v>
      </c>
      <c r="E75" s="4">
        <v>5</v>
      </c>
      <c r="F75" s="4">
        <v>2500</v>
      </c>
      <c r="G75" s="5">
        <f t="shared" si="3"/>
        <v>12500</v>
      </c>
      <c r="H75" s="5">
        <f t="shared" si="4"/>
        <v>2500</v>
      </c>
      <c r="I75" s="5">
        <f t="shared" si="5"/>
        <v>5</v>
      </c>
    </row>
    <row r="76" spans="1:9" ht="21" customHeight="1" x14ac:dyDescent="0.3">
      <c r="A76" s="9"/>
      <c r="B76" s="7" t="s">
        <v>68</v>
      </c>
      <c r="C76" s="7" t="s">
        <v>163</v>
      </c>
      <c r="D76" s="7" t="s">
        <v>135</v>
      </c>
      <c r="E76" s="7">
        <v>2</v>
      </c>
      <c r="F76" s="7">
        <v>5000</v>
      </c>
      <c r="G76" s="8">
        <f t="shared" si="3"/>
        <v>10000</v>
      </c>
      <c r="H76" s="8">
        <f t="shared" si="4"/>
        <v>5000</v>
      </c>
      <c r="I76" s="8">
        <f t="shared" si="5"/>
        <v>2</v>
      </c>
    </row>
    <row r="77" spans="1:9" ht="21" customHeight="1" x14ac:dyDescent="0.3">
      <c r="A77" s="9"/>
      <c r="B77" s="4" t="s">
        <v>69</v>
      </c>
      <c r="C77" s="5" t="s">
        <v>169</v>
      </c>
      <c r="D77" s="4" t="s">
        <v>143</v>
      </c>
      <c r="E77" s="4">
        <v>3</v>
      </c>
      <c r="F77" s="4">
        <v>600</v>
      </c>
      <c r="G77" s="5">
        <f t="shared" si="3"/>
        <v>1800</v>
      </c>
      <c r="H77" s="5">
        <f t="shared" si="4"/>
        <v>600</v>
      </c>
      <c r="I77" s="5">
        <f t="shared" si="5"/>
        <v>3</v>
      </c>
    </row>
    <row r="78" spans="1:9" ht="21" customHeight="1" x14ac:dyDescent="0.3">
      <c r="A78" s="9"/>
      <c r="B78" s="7" t="s">
        <v>3</v>
      </c>
      <c r="C78" s="7" t="s">
        <v>161</v>
      </c>
      <c r="D78" s="7" t="s">
        <v>144</v>
      </c>
      <c r="E78" s="7">
        <v>1</v>
      </c>
      <c r="F78" s="7">
        <v>2200</v>
      </c>
      <c r="G78" s="8">
        <f t="shared" si="3"/>
        <v>2200</v>
      </c>
      <c r="H78" s="8">
        <f t="shared" si="4"/>
        <v>2200</v>
      </c>
      <c r="I78" s="8">
        <f t="shared" si="5"/>
        <v>1</v>
      </c>
    </row>
    <row r="79" spans="1:9" ht="21" customHeight="1" x14ac:dyDescent="0.3">
      <c r="A79" s="9"/>
      <c r="B79" s="4" t="s">
        <v>70</v>
      </c>
      <c r="C79" s="5" t="s">
        <v>168</v>
      </c>
      <c r="D79" s="4" t="s">
        <v>147</v>
      </c>
      <c r="E79" s="4">
        <v>5</v>
      </c>
      <c r="F79" s="4">
        <v>2500</v>
      </c>
      <c r="G79" s="5">
        <f t="shared" si="3"/>
        <v>12500</v>
      </c>
      <c r="H79" s="5">
        <f t="shared" si="4"/>
        <v>2500</v>
      </c>
      <c r="I79" s="5">
        <f t="shared" si="5"/>
        <v>5</v>
      </c>
    </row>
    <row r="80" spans="1:9" ht="21" customHeight="1" x14ac:dyDescent="0.3">
      <c r="A80" s="9"/>
      <c r="B80" s="7" t="s">
        <v>28</v>
      </c>
      <c r="C80" s="7" t="s">
        <v>161</v>
      </c>
      <c r="D80" s="7" t="s">
        <v>145</v>
      </c>
      <c r="E80" s="7">
        <v>5</v>
      </c>
      <c r="F80" s="7">
        <v>20000</v>
      </c>
      <c r="G80" s="8">
        <f t="shared" si="3"/>
        <v>100000</v>
      </c>
      <c r="H80" s="8">
        <f t="shared" si="4"/>
        <v>20000</v>
      </c>
      <c r="I80" s="8">
        <f t="shared" si="5"/>
        <v>5</v>
      </c>
    </row>
    <row r="81" spans="1:9" ht="21" customHeight="1" x14ac:dyDescent="0.3">
      <c r="A81" s="9"/>
      <c r="B81" s="4" t="s">
        <v>71</v>
      </c>
      <c r="C81" s="5" t="s">
        <v>162</v>
      </c>
      <c r="D81" s="4" t="s">
        <v>142</v>
      </c>
      <c r="E81" s="4">
        <v>5</v>
      </c>
      <c r="F81" s="4">
        <v>30000</v>
      </c>
      <c r="G81" s="5">
        <f t="shared" si="3"/>
        <v>150000</v>
      </c>
      <c r="H81" s="5">
        <f t="shared" si="4"/>
        <v>30000</v>
      </c>
      <c r="I81" s="5">
        <f t="shared" si="5"/>
        <v>5</v>
      </c>
    </row>
    <row r="82" spans="1:9" ht="21" customHeight="1" x14ac:dyDescent="0.3">
      <c r="A82" s="9"/>
      <c r="B82" s="7" t="s">
        <v>8</v>
      </c>
      <c r="C82" s="7" t="s">
        <v>166</v>
      </c>
      <c r="D82" s="7" t="s">
        <v>147</v>
      </c>
      <c r="E82" s="7">
        <v>3</v>
      </c>
      <c r="F82" s="7">
        <v>2500</v>
      </c>
      <c r="G82" s="8">
        <f t="shared" si="3"/>
        <v>7500</v>
      </c>
      <c r="H82" s="8">
        <f t="shared" si="4"/>
        <v>2500</v>
      </c>
      <c r="I82" s="8">
        <f t="shared" si="5"/>
        <v>3</v>
      </c>
    </row>
    <row r="83" spans="1:9" ht="21" customHeight="1" x14ac:dyDescent="0.3">
      <c r="A83" s="9"/>
      <c r="B83" s="4" t="s">
        <v>72</v>
      </c>
      <c r="C83" s="5" t="s">
        <v>167</v>
      </c>
      <c r="D83" s="4" t="s">
        <v>140</v>
      </c>
      <c r="E83" s="4">
        <v>1</v>
      </c>
      <c r="F83" s="4">
        <v>8500</v>
      </c>
      <c r="G83" s="5">
        <f t="shared" si="3"/>
        <v>8500</v>
      </c>
      <c r="H83" s="5">
        <f t="shared" si="4"/>
        <v>8500</v>
      </c>
      <c r="I83" s="5">
        <f t="shared" si="5"/>
        <v>1</v>
      </c>
    </row>
    <row r="84" spans="1:9" ht="21" customHeight="1" x14ac:dyDescent="0.3">
      <c r="A84" s="9"/>
      <c r="B84" s="7" t="s">
        <v>73</v>
      </c>
      <c r="C84" s="7" t="s">
        <v>169</v>
      </c>
      <c r="D84" s="7" t="s">
        <v>148</v>
      </c>
      <c r="E84" s="7">
        <v>2</v>
      </c>
      <c r="F84" s="7">
        <v>3000</v>
      </c>
      <c r="G84" s="8">
        <f t="shared" si="3"/>
        <v>6000</v>
      </c>
      <c r="H84" s="8">
        <f t="shared" si="4"/>
        <v>3000</v>
      </c>
      <c r="I84" s="8">
        <f t="shared" si="5"/>
        <v>2</v>
      </c>
    </row>
    <row r="85" spans="1:9" ht="21" customHeight="1" x14ac:dyDescent="0.3">
      <c r="A85" s="9"/>
      <c r="B85" s="4" t="s">
        <v>20</v>
      </c>
      <c r="C85" s="5" t="s">
        <v>164</v>
      </c>
      <c r="D85" s="4" t="s">
        <v>145</v>
      </c>
      <c r="E85" s="4">
        <v>4</v>
      </c>
      <c r="F85" s="4">
        <v>20000</v>
      </c>
      <c r="G85" s="5">
        <f t="shared" si="3"/>
        <v>80000</v>
      </c>
      <c r="H85" s="5">
        <f t="shared" si="4"/>
        <v>20000</v>
      </c>
      <c r="I85" s="5">
        <f t="shared" si="5"/>
        <v>4</v>
      </c>
    </row>
    <row r="86" spans="1:9" ht="21" customHeight="1" x14ac:dyDescent="0.3">
      <c r="A86" s="9"/>
      <c r="B86" s="7" t="s">
        <v>3</v>
      </c>
      <c r="C86" s="7" t="s">
        <v>161</v>
      </c>
      <c r="D86" s="7" t="s">
        <v>135</v>
      </c>
      <c r="E86" s="7">
        <v>4</v>
      </c>
      <c r="F86" s="7">
        <v>5000</v>
      </c>
      <c r="G86" s="8">
        <f t="shared" si="3"/>
        <v>20000</v>
      </c>
      <c r="H86" s="8">
        <f t="shared" si="4"/>
        <v>5000</v>
      </c>
      <c r="I86" s="8">
        <f t="shared" si="5"/>
        <v>4</v>
      </c>
    </row>
    <row r="87" spans="1:9" ht="21" customHeight="1" x14ac:dyDescent="0.3">
      <c r="A87" s="9"/>
      <c r="B87" s="4" t="s">
        <v>2</v>
      </c>
      <c r="C87" s="5" t="s">
        <v>162</v>
      </c>
      <c r="D87" s="4" t="s">
        <v>138</v>
      </c>
      <c r="E87" s="4">
        <v>2</v>
      </c>
      <c r="F87" s="4">
        <v>3500</v>
      </c>
      <c r="G87" s="5">
        <f t="shared" si="3"/>
        <v>7000</v>
      </c>
      <c r="H87" s="5">
        <f t="shared" si="4"/>
        <v>3500</v>
      </c>
      <c r="I87" s="5">
        <f t="shared" si="5"/>
        <v>2</v>
      </c>
    </row>
    <row r="88" spans="1:9" ht="21" customHeight="1" x14ac:dyDescent="0.3">
      <c r="A88" s="9"/>
      <c r="B88" s="7" t="s">
        <v>8</v>
      </c>
      <c r="C88" s="7" t="s">
        <v>166</v>
      </c>
      <c r="D88" s="7" t="s">
        <v>134</v>
      </c>
      <c r="E88" s="7">
        <v>3</v>
      </c>
      <c r="F88" s="7">
        <v>12000</v>
      </c>
      <c r="G88" s="8">
        <f t="shared" si="3"/>
        <v>36000</v>
      </c>
      <c r="H88" s="8">
        <f t="shared" si="4"/>
        <v>12000</v>
      </c>
      <c r="I88" s="8">
        <f t="shared" si="5"/>
        <v>3</v>
      </c>
    </row>
    <row r="89" spans="1:9" ht="21" customHeight="1" x14ac:dyDescent="0.3">
      <c r="A89" s="9"/>
      <c r="B89" s="4" t="s">
        <v>74</v>
      </c>
      <c r="C89" s="5" t="s">
        <v>162</v>
      </c>
      <c r="D89" s="4" t="s">
        <v>135</v>
      </c>
      <c r="E89" s="4">
        <v>3</v>
      </c>
      <c r="F89" s="4">
        <v>5000</v>
      </c>
      <c r="G89" s="5">
        <f t="shared" si="3"/>
        <v>15000</v>
      </c>
      <c r="H89" s="5">
        <f t="shared" si="4"/>
        <v>5000</v>
      </c>
      <c r="I89" s="5">
        <f t="shared" si="5"/>
        <v>3</v>
      </c>
    </row>
    <row r="90" spans="1:9" ht="21" customHeight="1" x14ac:dyDescent="0.3">
      <c r="A90" s="9"/>
      <c r="B90" s="7" t="s">
        <v>75</v>
      </c>
      <c r="C90" s="7" t="s">
        <v>162</v>
      </c>
      <c r="D90" s="7" t="s">
        <v>141</v>
      </c>
      <c r="E90" s="7">
        <v>4</v>
      </c>
      <c r="F90" s="7">
        <v>55000</v>
      </c>
      <c r="G90" s="8">
        <f t="shared" si="3"/>
        <v>220000</v>
      </c>
      <c r="H90" s="8">
        <f t="shared" si="4"/>
        <v>55000</v>
      </c>
      <c r="I90" s="8">
        <f t="shared" si="5"/>
        <v>4</v>
      </c>
    </row>
    <row r="91" spans="1:9" ht="21" customHeight="1" x14ac:dyDescent="0.3">
      <c r="A91" s="9"/>
      <c r="B91" s="4" t="s">
        <v>76</v>
      </c>
      <c r="C91" s="5" t="s">
        <v>163</v>
      </c>
      <c r="D91" s="4" t="s">
        <v>148</v>
      </c>
      <c r="E91" s="4">
        <v>2</v>
      </c>
      <c r="F91" s="4">
        <v>3000</v>
      </c>
      <c r="G91" s="5">
        <f t="shared" si="3"/>
        <v>6000</v>
      </c>
      <c r="H91" s="5">
        <f t="shared" si="4"/>
        <v>3000</v>
      </c>
      <c r="I91" s="5">
        <f t="shared" si="5"/>
        <v>2</v>
      </c>
    </row>
    <row r="92" spans="1:9" ht="21" customHeight="1" x14ac:dyDescent="0.3">
      <c r="A92" s="9"/>
      <c r="B92" s="7" t="s">
        <v>77</v>
      </c>
      <c r="C92" s="7" t="s">
        <v>169</v>
      </c>
      <c r="D92" s="7" t="s">
        <v>147</v>
      </c>
      <c r="E92" s="7">
        <v>4</v>
      </c>
      <c r="F92" s="7">
        <v>2500</v>
      </c>
      <c r="G92" s="8">
        <f t="shared" si="3"/>
        <v>10000</v>
      </c>
      <c r="H92" s="8">
        <f t="shared" si="4"/>
        <v>2500</v>
      </c>
      <c r="I92" s="8">
        <f t="shared" si="5"/>
        <v>4</v>
      </c>
    </row>
    <row r="93" spans="1:9" ht="21" customHeight="1" x14ac:dyDescent="0.3">
      <c r="A93" s="9"/>
      <c r="B93" s="4" t="s">
        <v>78</v>
      </c>
      <c r="C93" s="5" t="s">
        <v>166</v>
      </c>
      <c r="D93" s="4" t="s">
        <v>138</v>
      </c>
      <c r="E93" s="4">
        <v>1</v>
      </c>
      <c r="F93" s="4">
        <v>3500</v>
      </c>
      <c r="G93" s="5">
        <f t="shared" si="3"/>
        <v>3500</v>
      </c>
      <c r="H93" s="5">
        <f t="shared" si="4"/>
        <v>3500</v>
      </c>
      <c r="I93" s="5">
        <f t="shared" si="5"/>
        <v>1</v>
      </c>
    </row>
    <row r="94" spans="1:9" ht="21" customHeight="1" x14ac:dyDescent="0.3">
      <c r="A94" s="9"/>
      <c r="B94" s="7" t="s">
        <v>3</v>
      </c>
      <c r="C94" s="7" t="s">
        <v>161</v>
      </c>
      <c r="D94" s="7" t="s">
        <v>136</v>
      </c>
      <c r="E94" s="7">
        <v>2</v>
      </c>
      <c r="F94" s="7">
        <v>800</v>
      </c>
      <c r="G94" s="8">
        <f t="shared" si="3"/>
        <v>1600</v>
      </c>
      <c r="H94" s="8">
        <f t="shared" si="4"/>
        <v>800</v>
      </c>
      <c r="I94" s="8">
        <f t="shared" si="5"/>
        <v>2</v>
      </c>
    </row>
    <row r="95" spans="1:9" ht="21" customHeight="1" x14ac:dyDescent="0.3">
      <c r="A95" s="9"/>
      <c r="B95" s="4" t="s">
        <v>79</v>
      </c>
      <c r="C95" s="5" t="s">
        <v>168</v>
      </c>
      <c r="D95" s="4" t="s">
        <v>139</v>
      </c>
      <c r="E95" s="4">
        <v>1</v>
      </c>
      <c r="F95" s="4">
        <v>700</v>
      </c>
      <c r="G95" s="5">
        <f t="shared" si="3"/>
        <v>700</v>
      </c>
      <c r="H95" s="5">
        <f t="shared" si="4"/>
        <v>700</v>
      </c>
      <c r="I95" s="5">
        <f t="shared" si="5"/>
        <v>1</v>
      </c>
    </row>
    <row r="96" spans="1:9" ht="21" customHeight="1" x14ac:dyDescent="0.3">
      <c r="A96" s="9"/>
      <c r="B96" s="7" t="s">
        <v>80</v>
      </c>
      <c r="C96" s="7" t="s">
        <v>169</v>
      </c>
      <c r="D96" s="7" t="s">
        <v>140</v>
      </c>
      <c r="E96" s="7">
        <v>4</v>
      </c>
      <c r="F96" s="7">
        <v>8500</v>
      </c>
      <c r="G96" s="8">
        <f t="shared" si="3"/>
        <v>34000</v>
      </c>
      <c r="H96" s="8">
        <f t="shared" si="4"/>
        <v>8500</v>
      </c>
      <c r="I96" s="8">
        <f t="shared" si="5"/>
        <v>4</v>
      </c>
    </row>
    <row r="97" spans="1:9" ht="21" customHeight="1" x14ac:dyDescent="0.3">
      <c r="A97" s="9"/>
      <c r="B97" s="4" t="s">
        <v>81</v>
      </c>
      <c r="C97" s="5" t="s">
        <v>162</v>
      </c>
      <c r="D97" s="4" t="s">
        <v>148</v>
      </c>
      <c r="E97" s="4">
        <v>5</v>
      </c>
      <c r="F97" s="4">
        <v>3000</v>
      </c>
      <c r="G97" s="5">
        <f t="shared" si="3"/>
        <v>15000</v>
      </c>
      <c r="H97" s="5">
        <f t="shared" si="4"/>
        <v>3000</v>
      </c>
      <c r="I97" s="5">
        <f t="shared" si="5"/>
        <v>5</v>
      </c>
    </row>
    <row r="98" spans="1:9" ht="21" customHeight="1" x14ac:dyDescent="0.3">
      <c r="A98" s="9"/>
      <c r="B98" s="7" t="s">
        <v>82</v>
      </c>
      <c r="C98" s="7" t="s">
        <v>168</v>
      </c>
      <c r="D98" s="7" t="s">
        <v>143</v>
      </c>
      <c r="E98" s="7">
        <v>4</v>
      </c>
      <c r="F98" s="7">
        <v>600</v>
      </c>
      <c r="G98" s="8">
        <f t="shared" si="3"/>
        <v>2400</v>
      </c>
      <c r="H98" s="8">
        <f t="shared" si="4"/>
        <v>600</v>
      </c>
      <c r="I98" s="8">
        <f t="shared" si="5"/>
        <v>4</v>
      </c>
    </row>
    <row r="99" spans="1:9" ht="21" customHeight="1" x14ac:dyDescent="0.3">
      <c r="A99" s="9"/>
      <c r="B99" s="4" t="s">
        <v>83</v>
      </c>
      <c r="C99" s="5" t="s">
        <v>162</v>
      </c>
      <c r="D99" s="4" t="s">
        <v>140</v>
      </c>
      <c r="E99" s="4">
        <v>4</v>
      </c>
      <c r="F99" s="4">
        <v>8500</v>
      </c>
      <c r="G99" s="5">
        <f t="shared" si="3"/>
        <v>34000</v>
      </c>
      <c r="H99" s="5">
        <f t="shared" si="4"/>
        <v>8500</v>
      </c>
      <c r="I99" s="5">
        <f t="shared" si="5"/>
        <v>4</v>
      </c>
    </row>
    <row r="100" spans="1:9" ht="21" customHeight="1" x14ac:dyDescent="0.3">
      <c r="A100" s="9"/>
      <c r="B100" s="7" t="s">
        <v>84</v>
      </c>
      <c r="C100" s="7" t="s">
        <v>168</v>
      </c>
      <c r="D100" s="7" t="s">
        <v>134</v>
      </c>
      <c r="E100" s="7">
        <v>5</v>
      </c>
      <c r="F100" s="7">
        <v>12000</v>
      </c>
      <c r="G100" s="8">
        <f t="shared" si="3"/>
        <v>60000</v>
      </c>
      <c r="H100" s="8">
        <f t="shared" si="4"/>
        <v>12000</v>
      </c>
      <c r="I100" s="8">
        <f t="shared" si="5"/>
        <v>5</v>
      </c>
    </row>
    <row r="101" spans="1:9" ht="21" customHeight="1" x14ac:dyDescent="0.3">
      <c r="A101" s="9"/>
      <c r="B101" s="4" t="s">
        <v>85</v>
      </c>
      <c r="C101" s="5" t="s">
        <v>161</v>
      </c>
      <c r="D101" s="4" t="s">
        <v>139</v>
      </c>
      <c r="E101" s="4">
        <v>5</v>
      </c>
      <c r="F101" s="4">
        <v>700</v>
      </c>
      <c r="G101" s="5">
        <f t="shared" si="3"/>
        <v>3500</v>
      </c>
      <c r="H101" s="5">
        <f t="shared" si="4"/>
        <v>700</v>
      </c>
      <c r="I101" s="5">
        <f t="shared" si="5"/>
        <v>5</v>
      </c>
    </row>
    <row r="102" spans="1:9" ht="21" customHeight="1" x14ac:dyDescent="0.3">
      <c r="A102" s="9"/>
      <c r="B102" s="7" t="s">
        <v>86</v>
      </c>
      <c r="C102" s="7" t="s">
        <v>168</v>
      </c>
      <c r="D102" s="7" t="s">
        <v>147</v>
      </c>
      <c r="E102" s="7">
        <v>1</v>
      </c>
      <c r="F102" s="7">
        <v>2500</v>
      </c>
      <c r="G102" s="8">
        <f t="shared" si="3"/>
        <v>2500</v>
      </c>
      <c r="H102" s="8">
        <f t="shared" si="4"/>
        <v>2500</v>
      </c>
      <c r="I102" s="8">
        <f t="shared" si="5"/>
        <v>1</v>
      </c>
    </row>
    <row r="103" spans="1:9" ht="21" customHeight="1" x14ac:dyDescent="0.3">
      <c r="A103" s="9"/>
      <c r="B103" s="4" t="s">
        <v>87</v>
      </c>
      <c r="C103" s="5" t="s">
        <v>167</v>
      </c>
      <c r="D103" s="4" t="s">
        <v>134</v>
      </c>
      <c r="E103" s="4">
        <v>5</v>
      </c>
      <c r="F103" s="4">
        <v>12000</v>
      </c>
      <c r="G103" s="5">
        <f t="shared" si="3"/>
        <v>60000</v>
      </c>
      <c r="H103" s="5">
        <f t="shared" si="4"/>
        <v>12000</v>
      </c>
      <c r="I103" s="5">
        <f t="shared" si="5"/>
        <v>5</v>
      </c>
    </row>
    <row r="104" spans="1:9" ht="21" customHeight="1" x14ac:dyDescent="0.3">
      <c r="A104" s="9"/>
      <c r="B104" s="7" t="s">
        <v>40</v>
      </c>
      <c r="C104" s="7" t="s">
        <v>166</v>
      </c>
      <c r="D104" s="7" t="s">
        <v>134</v>
      </c>
      <c r="E104" s="7">
        <v>3</v>
      </c>
      <c r="F104" s="7">
        <v>12000</v>
      </c>
      <c r="G104" s="8">
        <f t="shared" si="3"/>
        <v>36000</v>
      </c>
      <c r="H104" s="8">
        <f t="shared" si="4"/>
        <v>12000</v>
      </c>
      <c r="I104" s="8">
        <f t="shared" si="5"/>
        <v>3</v>
      </c>
    </row>
    <row r="105" spans="1:9" ht="21" customHeight="1" x14ac:dyDescent="0.3">
      <c r="A105" s="9"/>
      <c r="B105" s="4" t="s">
        <v>88</v>
      </c>
      <c r="C105" s="5" t="s">
        <v>169</v>
      </c>
      <c r="D105" s="4" t="s">
        <v>145</v>
      </c>
      <c r="E105" s="4">
        <v>1</v>
      </c>
      <c r="F105" s="4">
        <v>20000</v>
      </c>
      <c r="G105" s="5">
        <f t="shared" si="3"/>
        <v>20000</v>
      </c>
      <c r="H105" s="5">
        <f t="shared" si="4"/>
        <v>20000</v>
      </c>
      <c r="I105" s="5">
        <f t="shared" si="5"/>
        <v>1</v>
      </c>
    </row>
    <row r="106" spans="1:9" ht="21" customHeight="1" x14ac:dyDescent="0.3">
      <c r="A106" s="9"/>
      <c r="B106" s="7" t="s">
        <v>89</v>
      </c>
      <c r="C106" s="7" t="s">
        <v>168</v>
      </c>
      <c r="D106" s="7" t="s">
        <v>143</v>
      </c>
      <c r="E106" s="7">
        <v>2</v>
      </c>
      <c r="F106" s="7">
        <v>600</v>
      </c>
      <c r="G106" s="8">
        <f t="shared" si="3"/>
        <v>1200</v>
      </c>
      <c r="H106" s="8">
        <f t="shared" si="4"/>
        <v>600</v>
      </c>
      <c r="I106" s="8">
        <f t="shared" si="5"/>
        <v>2</v>
      </c>
    </row>
    <row r="107" spans="1:9" ht="21" customHeight="1" x14ac:dyDescent="0.3">
      <c r="A107" s="9"/>
      <c r="B107" s="4" t="s">
        <v>90</v>
      </c>
      <c r="C107" s="5" t="s">
        <v>164</v>
      </c>
      <c r="D107" s="4" t="s">
        <v>144</v>
      </c>
      <c r="E107" s="4">
        <v>1</v>
      </c>
      <c r="F107" s="4">
        <v>2200</v>
      </c>
      <c r="G107" s="5">
        <f t="shared" si="3"/>
        <v>2200</v>
      </c>
      <c r="H107" s="5">
        <f t="shared" si="4"/>
        <v>2200</v>
      </c>
      <c r="I107" s="5">
        <f t="shared" si="5"/>
        <v>1</v>
      </c>
    </row>
    <row r="108" spans="1:9" ht="21" customHeight="1" x14ac:dyDescent="0.3">
      <c r="A108" s="9"/>
      <c r="B108" s="7" t="s">
        <v>30</v>
      </c>
      <c r="C108" s="7" t="s">
        <v>161</v>
      </c>
      <c r="D108" s="7" t="s">
        <v>139</v>
      </c>
      <c r="E108" s="7">
        <v>4</v>
      </c>
      <c r="F108" s="7">
        <v>700</v>
      </c>
      <c r="G108" s="8">
        <f t="shared" si="3"/>
        <v>2800</v>
      </c>
      <c r="H108" s="8">
        <f t="shared" si="4"/>
        <v>700</v>
      </c>
      <c r="I108" s="8">
        <f t="shared" si="5"/>
        <v>4</v>
      </c>
    </row>
    <row r="109" spans="1:9" ht="21" customHeight="1" x14ac:dyDescent="0.3">
      <c r="A109" s="9"/>
      <c r="B109" s="4" t="s">
        <v>91</v>
      </c>
      <c r="C109" s="5" t="s">
        <v>163</v>
      </c>
      <c r="D109" s="4" t="s">
        <v>140</v>
      </c>
      <c r="E109" s="4">
        <v>1</v>
      </c>
      <c r="F109" s="4">
        <v>8500</v>
      </c>
      <c r="G109" s="5">
        <f t="shared" si="3"/>
        <v>8500</v>
      </c>
      <c r="H109" s="5">
        <f t="shared" si="4"/>
        <v>8500</v>
      </c>
      <c r="I109" s="5">
        <f t="shared" si="5"/>
        <v>1</v>
      </c>
    </row>
    <row r="110" spans="1:9" ht="21" customHeight="1" x14ac:dyDescent="0.3">
      <c r="A110" s="9"/>
      <c r="B110" s="7" t="s">
        <v>92</v>
      </c>
      <c r="C110" s="7" t="s">
        <v>163</v>
      </c>
      <c r="D110" s="7" t="s">
        <v>148</v>
      </c>
      <c r="E110" s="7">
        <v>2</v>
      </c>
      <c r="F110" s="7">
        <v>3000</v>
      </c>
      <c r="G110" s="8">
        <f t="shared" si="3"/>
        <v>6000</v>
      </c>
      <c r="H110" s="8">
        <f t="shared" si="4"/>
        <v>3000</v>
      </c>
      <c r="I110" s="8">
        <f t="shared" si="5"/>
        <v>2</v>
      </c>
    </row>
    <row r="111" spans="1:9" ht="21" customHeight="1" x14ac:dyDescent="0.3">
      <c r="A111" s="9"/>
      <c r="B111" s="4" t="s">
        <v>93</v>
      </c>
      <c r="C111" s="5" t="s">
        <v>165</v>
      </c>
      <c r="D111" s="4" t="s">
        <v>144</v>
      </c>
      <c r="E111" s="4">
        <v>4</v>
      </c>
      <c r="F111" s="4">
        <v>2200</v>
      </c>
      <c r="G111" s="5">
        <f t="shared" si="3"/>
        <v>8800</v>
      </c>
      <c r="H111" s="5">
        <f t="shared" si="4"/>
        <v>2200</v>
      </c>
      <c r="I111" s="5">
        <f t="shared" si="5"/>
        <v>4</v>
      </c>
    </row>
    <row r="112" spans="1:9" ht="21" customHeight="1" x14ac:dyDescent="0.3">
      <c r="A112" s="9"/>
      <c r="B112" s="7" t="s">
        <v>94</v>
      </c>
      <c r="C112" s="7" t="s">
        <v>164</v>
      </c>
      <c r="D112" s="7" t="s">
        <v>143</v>
      </c>
      <c r="E112" s="7">
        <v>2</v>
      </c>
      <c r="F112" s="7">
        <v>600</v>
      </c>
      <c r="G112" s="8">
        <f t="shared" si="3"/>
        <v>1200</v>
      </c>
      <c r="H112" s="8">
        <f t="shared" si="4"/>
        <v>600</v>
      </c>
      <c r="I112" s="8">
        <f t="shared" si="5"/>
        <v>2</v>
      </c>
    </row>
    <row r="113" spans="1:9" ht="21" customHeight="1" x14ac:dyDescent="0.3">
      <c r="A113" s="9"/>
      <c r="B113" s="4" t="s">
        <v>95</v>
      </c>
      <c r="C113" s="5" t="s">
        <v>167</v>
      </c>
      <c r="D113" s="4" t="s">
        <v>144</v>
      </c>
      <c r="E113" s="4">
        <v>2</v>
      </c>
      <c r="F113" s="4">
        <v>2200</v>
      </c>
      <c r="G113" s="5">
        <f t="shared" si="3"/>
        <v>4400</v>
      </c>
      <c r="H113" s="5">
        <f t="shared" si="4"/>
        <v>2200</v>
      </c>
      <c r="I113" s="5">
        <f t="shared" si="5"/>
        <v>2</v>
      </c>
    </row>
    <row r="114" spans="1:9" ht="21" customHeight="1" x14ac:dyDescent="0.3">
      <c r="A114" s="9"/>
      <c r="B114" s="7" t="s">
        <v>96</v>
      </c>
      <c r="C114" s="7" t="s">
        <v>161</v>
      </c>
      <c r="D114" s="7" t="s">
        <v>135</v>
      </c>
      <c r="E114" s="7">
        <v>5</v>
      </c>
      <c r="F114" s="7">
        <v>5000</v>
      </c>
      <c r="G114" s="8">
        <f t="shared" si="3"/>
        <v>25000</v>
      </c>
      <c r="H114" s="8">
        <f t="shared" si="4"/>
        <v>5000</v>
      </c>
      <c r="I114" s="8">
        <f t="shared" si="5"/>
        <v>5</v>
      </c>
    </row>
    <row r="115" spans="1:9" ht="21" customHeight="1" x14ac:dyDescent="0.3">
      <c r="A115" s="9"/>
      <c r="B115" s="4" t="s">
        <v>12</v>
      </c>
      <c r="C115" s="5" t="s">
        <v>168</v>
      </c>
      <c r="D115" s="4" t="s">
        <v>140</v>
      </c>
      <c r="E115" s="4">
        <v>4</v>
      </c>
      <c r="F115" s="4">
        <v>8500</v>
      </c>
      <c r="G115" s="5">
        <f t="shared" si="3"/>
        <v>34000</v>
      </c>
      <c r="H115" s="5">
        <f t="shared" si="4"/>
        <v>8500</v>
      </c>
      <c r="I115" s="5">
        <f t="shared" si="5"/>
        <v>4</v>
      </c>
    </row>
    <row r="116" spans="1:9" ht="21" customHeight="1" x14ac:dyDescent="0.3">
      <c r="A116" s="9"/>
      <c r="B116" s="7" t="s">
        <v>97</v>
      </c>
      <c r="C116" s="7" t="s">
        <v>166</v>
      </c>
      <c r="D116" s="7" t="s">
        <v>142</v>
      </c>
      <c r="E116" s="7">
        <v>3</v>
      </c>
      <c r="F116" s="7">
        <v>30000</v>
      </c>
      <c r="G116" s="8">
        <f t="shared" si="3"/>
        <v>90000</v>
      </c>
      <c r="H116" s="8">
        <f t="shared" si="4"/>
        <v>30000</v>
      </c>
      <c r="I116" s="8">
        <f t="shared" si="5"/>
        <v>3</v>
      </c>
    </row>
    <row r="117" spans="1:9" ht="21" customHeight="1" x14ac:dyDescent="0.3">
      <c r="A117" s="9"/>
      <c r="B117" s="4" t="s">
        <v>47</v>
      </c>
      <c r="C117" s="5" t="s">
        <v>166</v>
      </c>
      <c r="D117" s="4" t="s">
        <v>145</v>
      </c>
      <c r="E117" s="4">
        <v>5</v>
      </c>
      <c r="F117" s="4">
        <v>20000</v>
      </c>
      <c r="G117" s="5">
        <f t="shared" si="3"/>
        <v>100000</v>
      </c>
      <c r="H117" s="5">
        <f t="shared" si="4"/>
        <v>20000</v>
      </c>
      <c r="I117" s="5">
        <f t="shared" si="5"/>
        <v>5</v>
      </c>
    </row>
    <row r="118" spans="1:9" ht="21" customHeight="1" x14ac:dyDescent="0.3">
      <c r="A118" s="9"/>
      <c r="B118" s="7" t="s">
        <v>63</v>
      </c>
      <c r="C118" s="7" t="s">
        <v>162</v>
      </c>
      <c r="D118" s="7" t="s">
        <v>144</v>
      </c>
      <c r="E118" s="7">
        <v>3</v>
      </c>
      <c r="F118" s="7">
        <v>2200</v>
      </c>
      <c r="G118" s="8">
        <f t="shared" si="3"/>
        <v>6600</v>
      </c>
      <c r="H118" s="8">
        <f t="shared" si="4"/>
        <v>2200</v>
      </c>
      <c r="I118" s="8">
        <f t="shared" si="5"/>
        <v>3</v>
      </c>
    </row>
    <row r="119" spans="1:9" ht="21" customHeight="1" x14ac:dyDescent="0.3">
      <c r="A119" s="9"/>
      <c r="B119" s="4" t="s">
        <v>98</v>
      </c>
      <c r="C119" s="5" t="s">
        <v>161</v>
      </c>
      <c r="D119" s="4" t="s">
        <v>145</v>
      </c>
      <c r="E119" s="4">
        <v>4</v>
      </c>
      <c r="F119" s="4">
        <v>20000</v>
      </c>
      <c r="G119" s="5">
        <f t="shared" si="3"/>
        <v>80000</v>
      </c>
      <c r="H119" s="5">
        <f t="shared" si="4"/>
        <v>20000</v>
      </c>
      <c r="I119" s="5">
        <f t="shared" si="5"/>
        <v>4</v>
      </c>
    </row>
    <row r="120" spans="1:9" ht="21" customHeight="1" x14ac:dyDescent="0.3">
      <c r="A120" s="9"/>
      <c r="B120" s="7" t="s">
        <v>99</v>
      </c>
      <c r="C120" s="7" t="s">
        <v>163</v>
      </c>
      <c r="D120" s="7" t="s">
        <v>145</v>
      </c>
      <c r="E120" s="7">
        <v>5</v>
      </c>
      <c r="F120" s="7">
        <v>20000</v>
      </c>
      <c r="G120" s="8">
        <f t="shared" si="3"/>
        <v>100000</v>
      </c>
      <c r="H120" s="8">
        <f t="shared" si="4"/>
        <v>20000</v>
      </c>
      <c r="I120" s="8">
        <f t="shared" si="5"/>
        <v>5</v>
      </c>
    </row>
    <row r="121" spans="1:9" ht="21" customHeight="1" x14ac:dyDescent="0.3">
      <c r="A121" s="9"/>
      <c r="B121" s="4" t="s">
        <v>100</v>
      </c>
      <c r="C121" s="5" t="s">
        <v>161</v>
      </c>
      <c r="D121" s="4" t="s">
        <v>147</v>
      </c>
      <c r="E121" s="4">
        <v>1</v>
      </c>
      <c r="F121" s="4">
        <v>2500</v>
      </c>
      <c r="G121" s="5">
        <f t="shared" si="3"/>
        <v>2500</v>
      </c>
      <c r="H121" s="5">
        <f t="shared" si="4"/>
        <v>2500</v>
      </c>
      <c r="I121" s="5">
        <f t="shared" si="5"/>
        <v>1</v>
      </c>
    </row>
    <row r="122" spans="1:9" ht="21" customHeight="1" x14ac:dyDescent="0.3">
      <c r="A122" s="9"/>
      <c r="B122" s="7" t="s">
        <v>40</v>
      </c>
      <c r="C122" s="7" t="s">
        <v>166</v>
      </c>
      <c r="D122" s="7" t="s">
        <v>140</v>
      </c>
      <c r="E122" s="7">
        <v>5</v>
      </c>
      <c r="F122" s="7">
        <v>8500</v>
      </c>
      <c r="G122" s="8">
        <f t="shared" si="3"/>
        <v>42500</v>
      </c>
      <c r="H122" s="8">
        <f t="shared" si="4"/>
        <v>8500</v>
      </c>
      <c r="I122" s="8">
        <f t="shared" si="5"/>
        <v>5</v>
      </c>
    </row>
    <row r="123" spans="1:9" ht="21" customHeight="1" x14ac:dyDescent="0.3">
      <c r="A123" s="9"/>
      <c r="B123" s="4" t="s">
        <v>101</v>
      </c>
      <c r="C123" s="5" t="s">
        <v>169</v>
      </c>
      <c r="D123" s="4" t="s">
        <v>134</v>
      </c>
      <c r="E123" s="4">
        <v>4</v>
      </c>
      <c r="F123" s="4">
        <v>12000</v>
      </c>
      <c r="G123" s="5">
        <f t="shared" si="3"/>
        <v>48000</v>
      </c>
      <c r="H123" s="5">
        <f t="shared" si="4"/>
        <v>12000</v>
      </c>
      <c r="I123" s="5">
        <f t="shared" si="5"/>
        <v>4</v>
      </c>
    </row>
    <row r="124" spans="1:9" ht="21" customHeight="1" x14ac:dyDescent="0.3">
      <c r="A124" s="9"/>
      <c r="B124" s="7" t="s">
        <v>102</v>
      </c>
      <c r="C124" s="7" t="s">
        <v>164</v>
      </c>
      <c r="D124" s="7" t="s">
        <v>147</v>
      </c>
      <c r="E124" s="7">
        <v>5</v>
      </c>
      <c r="F124" s="7">
        <v>2500</v>
      </c>
      <c r="G124" s="8">
        <f t="shared" si="3"/>
        <v>12500</v>
      </c>
      <c r="H124" s="8">
        <f t="shared" si="4"/>
        <v>2500</v>
      </c>
      <c r="I124" s="8">
        <f t="shared" si="5"/>
        <v>5</v>
      </c>
    </row>
    <row r="125" spans="1:9" ht="21" customHeight="1" x14ac:dyDescent="0.3">
      <c r="A125" s="9"/>
      <c r="B125" s="4" t="s">
        <v>103</v>
      </c>
      <c r="C125" s="5" t="s">
        <v>165</v>
      </c>
      <c r="D125" s="4" t="s">
        <v>147</v>
      </c>
      <c r="E125" s="4">
        <v>5</v>
      </c>
      <c r="F125" s="4">
        <v>2500</v>
      </c>
      <c r="G125" s="5">
        <f t="shared" si="3"/>
        <v>12500</v>
      </c>
      <c r="H125" s="5">
        <f t="shared" si="4"/>
        <v>2500</v>
      </c>
      <c r="I125" s="5">
        <f t="shared" si="5"/>
        <v>5</v>
      </c>
    </row>
    <row r="126" spans="1:9" ht="21" customHeight="1" x14ac:dyDescent="0.3">
      <c r="A126" s="9"/>
      <c r="B126" s="7" t="s">
        <v>104</v>
      </c>
      <c r="C126" s="7" t="s">
        <v>167</v>
      </c>
      <c r="D126" s="7" t="s">
        <v>147</v>
      </c>
      <c r="E126" s="7">
        <v>5</v>
      </c>
      <c r="F126" s="7">
        <v>2500</v>
      </c>
      <c r="G126" s="8">
        <f t="shared" si="3"/>
        <v>12500</v>
      </c>
      <c r="H126" s="8">
        <f t="shared" si="4"/>
        <v>2500</v>
      </c>
      <c r="I126" s="8">
        <f t="shared" si="5"/>
        <v>5</v>
      </c>
    </row>
    <row r="127" spans="1:9" ht="21" customHeight="1" x14ac:dyDescent="0.3">
      <c r="A127" s="9"/>
      <c r="B127" s="4" t="s">
        <v>101</v>
      </c>
      <c r="C127" s="5" t="s">
        <v>169</v>
      </c>
      <c r="D127" s="4" t="s">
        <v>137</v>
      </c>
      <c r="E127" s="4">
        <v>4</v>
      </c>
      <c r="F127" s="4">
        <v>2500</v>
      </c>
      <c r="G127" s="5">
        <f t="shared" si="3"/>
        <v>10000</v>
      </c>
      <c r="H127" s="5">
        <f t="shared" si="4"/>
        <v>2500</v>
      </c>
      <c r="I127" s="5">
        <f t="shared" si="5"/>
        <v>4</v>
      </c>
    </row>
    <row r="128" spans="1:9" ht="21" customHeight="1" x14ac:dyDescent="0.3">
      <c r="A128" s="9"/>
      <c r="B128" s="7" t="s">
        <v>105</v>
      </c>
      <c r="C128" s="7" t="s">
        <v>164</v>
      </c>
      <c r="D128" s="7" t="s">
        <v>139</v>
      </c>
      <c r="E128" s="7">
        <v>5</v>
      </c>
      <c r="F128" s="7">
        <v>700</v>
      </c>
      <c r="G128" s="8">
        <f t="shared" si="3"/>
        <v>3500</v>
      </c>
      <c r="H128" s="8">
        <f t="shared" si="4"/>
        <v>700</v>
      </c>
      <c r="I128" s="8">
        <f t="shared" si="5"/>
        <v>5</v>
      </c>
    </row>
    <row r="129" spans="1:9" ht="21" customHeight="1" x14ac:dyDescent="0.3">
      <c r="A129" s="9"/>
      <c r="B129" s="4" t="s">
        <v>61</v>
      </c>
      <c r="C129" s="5" t="s">
        <v>165</v>
      </c>
      <c r="D129" s="4" t="s">
        <v>139</v>
      </c>
      <c r="E129" s="4">
        <v>5</v>
      </c>
      <c r="F129" s="4">
        <v>700</v>
      </c>
      <c r="G129" s="5">
        <f t="shared" si="3"/>
        <v>3500</v>
      </c>
      <c r="H129" s="5">
        <f t="shared" si="4"/>
        <v>700</v>
      </c>
      <c r="I129" s="5">
        <f t="shared" si="5"/>
        <v>5</v>
      </c>
    </row>
    <row r="130" spans="1:9" ht="21" customHeight="1" x14ac:dyDescent="0.3">
      <c r="A130" s="9"/>
      <c r="B130" s="7" t="s">
        <v>106</v>
      </c>
      <c r="C130" s="7" t="s">
        <v>168</v>
      </c>
      <c r="D130" s="7" t="s">
        <v>144</v>
      </c>
      <c r="E130" s="7">
        <v>5</v>
      </c>
      <c r="F130" s="7">
        <v>2200</v>
      </c>
      <c r="G130" s="8">
        <f t="shared" si="3"/>
        <v>11000</v>
      </c>
      <c r="H130" s="8">
        <f t="shared" si="4"/>
        <v>2200</v>
      </c>
      <c r="I130" s="8">
        <f t="shared" si="5"/>
        <v>5</v>
      </c>
    </row>
    <row r="131" spans="1:9" ht="21" customHeight="1" x14ac:dyDescent="0.3">
      <c r="A131" s="9"/>
      <c r="B131" s="4" t="s">
        <v>107</v>
      </c>
      <c r="C131" s="5" t="s">
        <v>162</v>
      </c>
      <c r="D131" s="4" t="s">
        <v>136</v>
      </c>
      <c r="E131" s="4">
        <v>3</v>
      </c>
      <c r="F131" s="4">
        <v>800</v>
      </c>
      <c r="G131" s="5">
        <f t="shared" si="3"/>
        <v>2400</v>
      </c>
      <c r="H131" s="5">
        <f t="shared" si="4"/>
        <v>800</v>
      </c>
      <c r="I131" s="5">
        <f t="shared" si="5"/>
        <v>3</v>
      </c>
    </row>
    <row r="132" spans="1:9" ht="21" customHeight="1" x14ac:dyDescent="0.3">
      <c r="A132" s="9"/>
      <c r="B132" s="7" t="s">
        <v>10</v>
      </c>
      <c r="C132" s="7" t="s">
        <v>165</v>
      </c>
      <c r="D132" s="7" t="s">
        <v>139</v>
      </c>
      <c r="E132" s="7">
        <v>1</v>
      </c>
      <c r="F132" s="7">
        <v>700</v>
      </c>
      <c r="G132" s="8">
        <f t="shared" ref="G132:G195" si="6">SUMPRODUCT(E132*F132)</f>
        <v>700</v>
      </c>
      <c r="H132" s="8">
        <f t="shared" ref="H132:H195" si="7">G132/E132</f>
        <v>700</v>
      </c>
      <c r="I132" s="8">
        <f t="shared" ref="I132:I195" si="8">SUM(E132)</f>
        <v>1</v>
      </c>
    </row>
    <row r="133" spans="1:9" ht="21" customHeight="1" x14ac:dyDescent="0.3">
      <c r="A133" s="9"/>
      <c r="B133" s="4" t="s">
        <v>40</v>
      </c>
      <c r="C133" s="5" t="s">
        <v>166</v>
      </c>
      <c r="D133" s="4" t="s">
        <v>138</v>
      </c>
      <c r="E133" s="4">
        <v>1</v>
      </c>
      <c r="F133" s="4">
        <v>3500</v>
      </c>
      <c r="G133" s="5">
        <f t="shared" si="6"/>
        <v>3500</v>
      </c>
      <c r="H133" s="5">
        <f t="shared" si="7"/>
        <v>3500</v>
      </c>
      <c r="I133" s="5">
        <f t="shared" si="8"/>
        <v>1</v>
      </c>
    </row>
    <row r="134" spans="1:9" ht="21" customHeight="1" x14ac:dyDescent="0.3">
      <c r="A134" s="9"/>
      <c r="B134" s="7" t="s">
        <v>108</v>
      </c>
      <c r="C134" s="7" t="s">
        <v>168</v>
      </c>
      <c r="D134" s="7" t="s">
        <v>136</v>
      </c>
      <c r="E134" s="7">
        <v>2</v>
      </c>
      <c r="F134" s="7">
        <v>800</v>
      </c>
      <c r="G134" s="8">
        <f t="shared" si="6"/>
        <v>1600</v>
      </c>
      <c r="H134" s="8">
        <f t="shared" si="7"/>
        <v>800</v>
      </c>
      <c r="I134" s="8">
        <f t="shared" si="8"/>
        <v>2</v>
      </c>
    </row>
    <row r="135" spans="1:9" ht="21" customHeight="1" x14ac:dyDescent="0.3">
      <c r="A135" s="9"/>
      <c r="B135" s="4" t="s">
        <v>109</v>
      </c>
      <c r="C135" s="5" t="s">
        <v>168</v>
      </c>
      <c r="D135" s="4" t="s">
        <v>139</v>
      </c>
      <c r="E135" s="4">
        <v>2</v>
      </c>
      <c r="F135" s="4">
        <v>700</v>
      </c>
      <c r="G135" s="5">
        <f t="shared" si="6"/>
        <v>1400</v>
      </c>
      <c r="H135" s="5">
        <f t="shared" si="7"/>
        <v>700</v>
      </c>
      <c r="I135" s="5">
        <f t="shared" si="8"/>
        <v>2</v>
      </c>
    </row>
    <row r="136" spans="1:9" ht="21" customHeight="1" x14ac:dyDescent="0.3">
      <c r="A136" s="9"/>
      <c r="B136" s="7" t="s">
        <v>44</v>
      </c>
      <c r="C136" s="7" t="s">
        <v>169</v>
      </c>
      <c r="D136" s="7" t="s">
        <v>136</v>
      </c>
      <c r="E136" s="7">
        <v>1</v>
      </c>
      <c r="F136" s="7">
        <v>800</v>
      </c>
      <c r="G136" s="8">
        <f t="shared" si="6"/>
        <v>800</v>
      </c>
      <c r="H136" s="8">
        <f t="shared" si="7"/>
        <v>800</v>
      </c>
      <c r="I136" s="8">
        <f t="shared" si="8"/>
        <v>1</v>
      </c>
    </row>
    <row r="137" spans="1:9" ht="21" customHeight="1" x14ac:dyDescent="0.3">
      <c r="A137" s="9"/>
      <c r="B137" s="4" t="s">
        <v>73</v>
      </c>
      <c r="C137" s="5" t="s">
        <v>169</v>
      </c>
      <c r="D137" s="4" t="s">
        <v>142</v>
      </c>
      <c r="E137" s="4">
        <v>2</v>
      </c>
      <c r="F137" s="4">
        <v>30000</v>
      </c>
      <c r="G137" s="5">
        <f t="shared" si="6"/>
        <v>60000</v>
      </c>
      <c r="H137" s="5">
        <f t="shared" si="7"/>
        <v>30000</v>
      </c>
      <c r="I137" s="5">
        <f t="shared" si="8"/>
        <v>2</v>
      </c>
    </row>
    <row r="138" spans="1:9" ht="21" customHeight="1" x14ac:dyDescent="0.3">
      <c r="A138" s="9"/>
      <c r="B138" s="7" t="s">
        <v>110</v>
      </c>
      <c r="C138" s="7" t="s">
        <v>162</v>
      </c>
      <c r="D138" s="7" t="s">
        <v>136</v>
      </c>
      <c r="E138" s="7">
        <v>3</v>
      </c>
      <c r="F138" s="7">
        <v>800</v>
      </c>
      <c r="G138" s="8">
        <f t="shared" si="6"/>
        <v>2400</v>
      </c>
      <c r="H138" s="8">
        <f t="shared" si="7"/>
        <v>800</v>
      </c>
      <c r="I138" s="8">
        <f t="shared" si="8"/>
        <v>3</v>
      </c>
    </row>
    <row r="139" spans="1:9" ht="21" customHeight="1" x14ac:dyDescent="0.3">
      <c r="A139" s="9"/>
      <c r="B139" s="4" t="s">
        <v>111</v>
      </c>
      <c r="C139" s="5" t="s">
        <v>164</v>
      </c>
      <c r="D139" s="4" t="s">
        <v>139</v>
      </c>
      <c r="E139" s="4">
        <v>3</v>
      </c>
      <c r="F139" s="4">
        <v>700</v>
      </c>
      <c r="G139" s="5">
        <f t="shared" si="6"/>
        <v>2100</v>
      </c>
      <c r="H139" s="5">
        <f t="shared" si="7"/>
        <v>700</v>
      </c>
      <c r="I139" s="5">
        <f t="shared" si="8"/>
        <v>3</v>
      </c>
    </row>
    <row r="140" spans="1:9" ht="21" customHeight="1" x14ac:dyDescent="0.3">
      <c r="A140" s="9"/>
      <c r="B140" s="7" t="s">
        <v>109</v>
      </c>
      <c r="C140" s="7" t="s">
        <v>168</v>
      </c>
      <c r="D140" s="7" t="s">
        <v>135</v>
      </c>
      <c r="E140" s="7">
        <v>5</v>
      </c>
      <c r="F140" s="7">
        <v>5000</v>
      </c>
      <c r="G140" s="8">
        <f t="shared" si="6"/>
        <v>25000</v>
      </c>
      <c r="H140" s="8">
        <f t="shared" si="7"/>
        <v>5000</v>
      </c>
      <c r="I140" s="8">
        <f t="shared" si="8"/>
        <v>5</v>
      </c>
    </row>
    <row r="141" spans="1:9" ht="21" customHeight="1" x14ac:dyDescent="0.3">
      <c r="A141" s="9"/>
      <c r="B141" s="4" t="s">
        <v>25</v>
      </c>
      <c r="C141" s="5" t="s">
        <v>167</v>
      </c>
      <c r="D141" s="4" t="s">
        <v>136</v>
      </c>
      <c r="E141" s="4">
        <v>2</v>
      </c>
      <c r="F141" s="4">
        <v>800</v>
      </c>
      <c r="G141" s="5">
        <f t="shared" si="6"/>
        <v>1600</v>
      </c>
      <c r="H141" s="5">
        <f t="shared" si="7"/>
        <v>800</v>
      </c>
      <c r="I141" s="5">
        <f t="shared" si="8"/>
        <v>2</v>
      </c>
    </row>
    <row r="142" spans="1:9" ht="21" customHeight="1" x14ac:dyDescent="0.3">
      <c r="A142" s="9"/>
      <c r="B142" s="7" t="s">
        <v>2</v>
      </c>
      <c r="C142" s="7" t="s">
        <v>162</v>
      </c>
      <c r="D142" s="7" t="s">
        <v>141</v>
      </c>
      <c r="E142" s="7">
        <v>3</v>
      </c>
      <c r="F142" s="7">
        <v>55000</v>
      </c>
      <c r="G142" s="8">
        <f t="shared" si="6"/>
        <v>165000</v>
      </c>
      <c r="H142" s="8">
        <f t="shared" si="7"/>
        <v>55000</v>
      </c>
      <c r="I142" s="8">
        <f t="shared" si="8"/>
        <v>3</v>
      </c>
    </row>
    <row r="143" spans="1:9" ht="21" customHeight="1" x14ac:dyDescent="0.3">
      <c r="A143" s="9"/>
      <c r="B143" s="4" t="s">
        <v>63</v>
      </c>
      <c r="C143" s="5" t="s">
        <v>162</v>
      </c>
      <c r="D143" s="4" t="s">
        <v>139</v>
      </c>
      <c r="E143" s="4">
        <v>1</v>
      </c>
      <c r="F143" s="4">
        <v>700</v>
      </c>
      <c r="G143" s="5">
        <f t="shared" si="6"/>
        <v>700</v>
      </c>
      <c r="H143" s="5">
        <f t="shared" si="7"/>
        <v>700</v>
      </c>
      <c r="I143" s="5">
        <f t="shared" si="8"/>
        <v>1</v>
      </c>
    </row>
    <row r="144" spans="1:9" ht="21" customHeight="1" x14ac:dyDescent="0.3">
      <c r="A144" s="9"/>
      <c r="B144" s="7" t="s">
        <v>112</v>
      </c>
      <c r="C144" s="7" t="s">
        <v>161</v>
      </c>
      <c r="D144" s="7" t="s">
        <v>139</v>
      </c>
      <c r="E144" s="7">
        <v>2</v>
      </c>
      <c r="F144" s="7">
        <v>700</v>
      </c>
      <c r="G144" s="8">
        <f t="shared" si="6"/>
        <v>1400</v>
      </c>
      <c r="H144" s="8">
        <f t="shared" si="7"/>
        <v>700</v>
      </c>
      <c r="I144" s="8">
        <f t="shared" si="8"/>
        <v>2</v>
      </c>
    </row>
    <row r="145" spans="1:9" ht="21" customHeight="1" x14ac:dyDescent="0.3">
      <c r="A145" s="9"/>
      <c r="B145" s="4" t="s">
        <v>75</v>
      </c>
      <c r="C145" s="5" t="s">
        <v>162</v>
      </c>
      <c r="D145" s="4" t="s">
        <v>137</v>
      </c>
      <c r="E145" s="4">
        <v>5</v>
      </c>
      <c r="F145" s="4">
        <v>2500</v>
      </c>
      <c r="G145" s="5">
        <f t="shared" si="6"/>
        <v>12500</v>
      </c>
      <c r="H145" s="5">
        <f t="shared" si="7"/>
        <v>2500</v>
      </c>
      <c r="I145" s="5">
        <f t="shared" si="8"/>
        <v>5</v>
      </c>
    </row>
    <row r="146" spans="1:9" ht="21" customHeight="1" x14ac:dyDescent="0.3">
      <c r="A146" s="9"/>
      <c r="B146" s="7" t="s">
        <v>19</v>
      </c>
      <c r="C146" s="7" t="s">
        <v>169</v>
      </c>
      <c r="D146" s="7" t="s">
        <v>144</v>
      </c>
      <c r="E146" s="7">
        <v>1</v>
      </c>
      <c r="F146" s="7">
        <v>2200</v>
      </c>
      <c r="G146" s="8">
        <f t="shared" si="6"/>
        <v>2200</v>
      </c>
      <c r="H146" s="8">
        <f t="shared" si="7"/>
        <v>2200</v>
      </c>
      <c r="I146" s="8">
        <f t="shared" si="8"/>
        <v>1</v>
      </c>
    </row>
    <row r="147" spans="1:9" ht="21" customHeight="1" x14ac:dyDescent="0.3">
      <c r="A147" s="9"/>
      <c r="B147" s="4" t="s">
        <v>113</v>
      </c>
      <c r="C147" s="5" t="s">
        <v>165</v>
      </c>
      <c r="D147" s="4" t="s">
        <v>144</v>
      </c>
      <c r="E147" s="4">
        <v>4</v>
      </c>
      <c r="F147" s="4">
        <v>2200</v>
      </c>
      <c r="G147" s="5">
        <f t="shared" si="6"/>
        <v>8800</v>
      </c>
      <c r="H147" s="5">
        <f t="shared" si="7"/>
        <v>2200</v>
      </c>
      <c r="I147" s="5">
        <f t="shared" si="8"/>
        <v>4</v>
      </c>
    </row>
    <row r="148" spans="1:9" ht="21" customHeight="1" x14ac:dyDescent="0.3">
      <c r="A148" s="9"/>
      <c r="B148" s="7" t="s">
        <v>58</v>
      </c>
      <c r="C148" s="7" t="s">
        <v>169</v>
      </c>
      <c r="D148" s="7" t="s">
        <v>134</v>
      </c>
      <c r="E148" s="7">
        <v>5</v>
      </c>
      <c r="F148" s="7">
        <v>12000</v>
      </c>
      <c r="G148" s="8">
        <f t="shared" si="6"/>
        <v>60000</v>
      </c>
      <c r="H148" s="8">
        <f t="shared" si="7"/>
        <v>12000</v>
      </c>
      <c r="I148" s="8">
        <f t="shared" si="8"/>
        <v>5</v>
      </c>
    </row>
    <row r="149" spans="1:9" ht="21" customHeight="1" x14ac:dyDescent="0.3">
      <c r="A149" s="9"/>
      <c r="B149" s="4" t="s">
        <v>85</v>
      </c>
      <c r="C149" s="5" t="s">
        <v>161</v>
      </c>
      <c r="D149" s="4" t="s">
        <v>145</v>
      </c>
      <c r="E149" s="4">
        <v>2</v>
      </c>
      <c r="F149" s="4">
        <v>20000</v>
      </c>
      <c r="G149" s="5">
        <f t="shared" si="6"/>
        <v>40000</v>
      </c>
      <c r="H149" s="5">
        <f t="shared" si="7"/>
        <v>20000</v>
      </c>
      <c r="I149" s="5">
        <f t="shared" si="8"/>
        <v>2</v>
      </c>
    </row>
    <row r="150" spans="1:9" ht="21" customHeight="1" x14ac:dyDescent="0.3">
      <c r="A150" s="9"/>
      <c r="B150" s="7" t="s">
        <v>114</v>
      </c>
      <c r="C150" s="7" t="s">
        <v>165</v>
      </c>
      <c r="D150" s="7" t="s">
        <v>134</v>
      </c>
      <c r="E150" s="7">
        <v>4</v>
      </c>
      <c r="F150" s="7">
        <v>12000</v>
      </c>
      <c r="G150" s="8">
        <f t="shared" si="6"/>
        <v>48000</v>
      </c>
      <c r="H150" s="8">
        <f t="shared" si="7"/>
        <v>12000</v>
      </c>
      <c r="I150" s="8">
        <f t="shared" si="8"/>
        <v>4</v>
      </c>
    </row>
    <row r="151" spans="1:9" ht="21" customHeight="1" x14ac:dyDescent="0.3">
      <c r="A151" s="9"/>
      <c r="B151" s="4" t="s">
        <v>115</v>
      </c>
      <c r="C151" s="5" t="s">
        <v>165</v>
      </c>
      <c r="D151" s="4" t="s">
        <v>145</v>
      </c>
      <c r="E151" s="4">
        <v>4</v>
      </c>
      <c r="F151" s="4">
        <v>20000</v>
      </c>
      <c r="G151" s="5">
        <f t="shared" si="6"/>
        <v>80000</v>
      </c>
      <c r="H151" s="5">
        <f t="shared" si="7"/>
        <v>20000</v>
      </c>
      <c r="I151" s="5">
        <f t="shared" si="8"/>
        <v>4</v>
      </c>
    </row>
    <row r="152" spans="1:9" ht="21" customHeight="1" x14ac:dyDescent="0.3">
      <c r="A152" s="9"/>
      <c r="B152" s="7" t="s">
        <v>116</v>
      </c>
      <c r="C152" s="7" t="s">
        <v>162</v>
      </c>
      <c r="D152" s="7" t="s">
        <v>144</v>
      </c>
      <c r="E152" s="7">
        <v>3</v>
      </c>
      <c r="F152" s="7">
        <v>2200</v>
      </c>
      <c r="G152" s="8">
        <f t="shared" si="6"/>
        <v>6600</v>
      </c>
      <c r="H152" s="8">
        <f t="shared" si="7"/>
        <v>2200</v>
      </c>
      <c r="I152" s="8">
        <f t="shared" si="8"/>
        <v>3</v>
      </c>
    </row>
    <row r="153" spans="1:9" ht="21" customHeight="1" x14ac:dyDescent="0.3">
      <c r="A153" s="9"/>
      <c r="B153" s="4" t="s">
        <v>117</v>
      </c>
      <c r="C153" s="5" t="s">
        <v>165</v>
      </c>
      <c r="D153" s="4" t="s">
        <v>145</v>
      </c>
      <c r="E153" s="4">
        <v>3</v>
      </c>
      <c r="F153" s="4">
        <v>20000</v>
      </c>
      <c r="G153" s="5">
        <f t="shared" si="6"/>
        <v>60000</v>
      </c>
      <c r="H153" s="5">
        <f t="shared" si="7"/>
        <v>20000</v>
      </c>
      <c r="I153" s="5">
        <f t="shared" si="8"/>
        <v>3</v>
      </c>
    </row>
    <row r="154" spans="1:9" ht="21" customHeight="1" x14ac:dyDescent="0.3">
      <c r="A154" s="9"/>
      <c r="B154" s="7" t="s">
        <v>118</v>
      </c>
      <c r="C154" s="7" t="s">
        <v>166</v>
      </c>
      <c r="D154" s="7" t="s">
        <v>146</v>
      </c>
      <c r="E154" s="7">
        <v>1</v>
      </c>
      <c r="F154" s="7">
        <v>1000</v>
      </c>
      <c r="G154" s="8">
        <f t="shared" si="6"/>
        <v>1000</v>
      </c>
      <c r="H154" s="8">
        <f t="shared" si="7"/>
        <v>1000</v>
      </c>
      <c r="I154" s="8">
        <f t="shared" si="8"/>
        <v>1</v>
      </c>
    </row>
    <row r="155" spans="1:9" ht="21" customHeight="1" x14ac:dyDescent="0.3">
      <c r="A155" s="9"/>
      <c r="B155" s="4" t="s">
        <v>119</v>
      </c>
      <c r="C155" s="5" t="s">
        <v>166</v>
      </c>
      <c r="D155" s="4" t="s">
        <v>141</v>
      </c>
      <c r="E155" s="4">
        <v>2</v>
      </c>
      <c r="F155" s="4">
        <v>55000</v>
      </c>
      <c r="G155" s="5">
        <f t="shared" si="6"/>
        <v>110000</v>
      </c>
      <c r="H155" s="5">
        <f t="shared" si="7"/>
        <v>55000</v>
      </c>
      <c r="I155" s="5">
        <f t="shared" si="8"/>
        <v>2</v>
      </c>
    </row>
    <row r="156" spans="1:9" ht="21" customHeight="1" x14ac:dyDescent="0.3">
      <c r="A156" s="9"/>
      <c r="B156" s="7" t="s">
        <v>120</v>
      </c>
      <c r="C156" s="7" t="s">
        <v>161</v>
      </c>
      <c r="D156" s="7" t="s">
        <v>146</v>
      </c>
      <c r="E156" s="7">
        <v>5</v>
      </c>
      <c r="F156" s="7">
        <v>1000</v>
      </c>
      <c r="G156" s="8">
        <f t="shared" si="6"/>
        <v>5000</v>
      </c>
      <c r="H156" s="8">
        <f t="shared" si="7"/>
        <v>1000</v>
      </c>
      <c r="I156" s="8">
        <f t="shared" si="8"/>
        <v>5</v>
      </c>
    </row>
    <row r="157" spans="1:9" ht="21" customHeight="1" x14ac:dyDescent="0.3">
      <c r="A157" s="9"/>
      <c r="B157" s="4" t="s">
        <v>121</v>
      </c>
      <c r="C157" s="5" t="s">
        <v>163</v>
      </c>
      <c r="D157" s="4" t="s">
        <v>146</v>
      </c>
      <c r="E157" s="4">
        <v>2</v>
      </c>
      <c r="F157" s="4">
        <v>1000</v>
      </c>
      <c r="G157" s="5">
        <f t="shared" si="6"/>
        <v>2000</v>
      </c>
      <c r="H157" s="5">
        <f t="shared" si="7"/>
        <v>1000</v>
      </c>
      <c r="I157" s="5">
        <f t="shared" si="8"/>
        <v>2</v>
      </c>
    </row>
    <row r="158" spans="1:9" ht="21" customHeight="1" x14ac:dyDescent="0.3">
      <c r="A158" s="9"/>
      <c r="B158" s="7" t="s">
        <v>65</v>
      </c>
      <c r="C158" s="7" t="s">
        <v>166</v>
      </c>
      <c r="D158" s="7" t="s">
        <v>134</v>
      </c>
      <c r="E158" s="7">
        <v>4</v>
      </c>
      <c r="F158" s="7">
        <v>12000</v>
      </c>
      <c r="G158" s="8">
        <f t="shared" si="6"/>
        <v>48000</v>
      </c>
      <c r="H158" s="8">
        <f t="shared" si="7"/>
        <v>12000</v>
      </c>
      <c r="I158" s="8">
        <f t="shared" si="8"/>
        <v>4</v>
      </c>
    </row>
    <row r="159" spans="1:9" ht="21" customHeight="1" x14ac:dyDescent="0.3">
      <c r="A159" s="9"/>
      <c r="B159" s="4" t="s">
        <v>122</v>
      </c>
      <c r="C159" s="5" t="s">
        <v>162</v>
      </c>
      <c r="D159" s="4" t="s">
        <v>141</v>
      </c>
      <c r="E159" s="4">
        <v>2</v>
      </c>
      <c r="F159" s="4">
        <v>55000</v>
      </c>
      <c r="G159" s="5">
        <f t="shared" si="6"/>
        <v>110000</v>
      </c>
      <c r="H159" s="5">
        <f t="shared" si="7"/>
        <v>55000</v>
      </c>
      <c r="I159" s="5">
        <f t="shared" si="8"/>
        <v>2</v>
      </c>
    </row>
    <row r="160" spans="1:9" ht="21" customHeight="1" x14ac:dyDescent="0.3">
      <c r="A160" s="9"/>
      <c r="B160" s="7" t="s">
        <v>6</v>
      </c>
      <c r="C160" s="7" t="s">
        <v>165</v>
      </c>
      <c r="D160" s="7" t="s">
        <v>143</v>
      </c>
      <c r="E160" s="7">
        <v>1</v>
      </c>
      <c r="F160" s="7">
        <v>600</v>
      </c>
      <c r="G160" s="8">
        <f t="shared" si="6"/>
        <v>600</v>
      </c>
      <c r="H160" s="8">
        <f t="shared" si="7"/>
        <v>600</v>
      </c>
      <c r="I160" s="8">
        <f t="shared" si="8"/>
        <v>1</v>
      </c>
    </row>
    <row r="161" spans="1:9" ht="21" customHeight="1" x14ac:dyDescent="0.3">
      <c r="A161" s="9"/>
      <c r="B161" s="4" t="s">
        <v>123</v>
      </c>
      <c r="C161" s="5" t="s">
        <v>169</v>
      </c>
      <c r="D161" s="4" t="s">
        <v>139</v>
      </c>
      <c r="E161" s="4">
        <v>2</v>
      </c>
      <c r="F161" s="4">
        <v>700</v>
      </c>
      <c r="G161" s="5">
        <f t="shared" si="6"/>
        <v>1400</v>
      </c>
      <c r="H161" s="5">
        <f t="shared" si="7"/>
        <v>700</v>
      </c>
      <c r="I161" s="5">
        <f t="shared" si="8"/>
        <v>2</v>
      </c>
    </row>
    <row r="162" spans="1:9" ht="21" customHeight="1" x14ac:dyDescent="0.3">
      <c r="A162" s="9"/>
      <c r="B162" s="7" t="s">
        <v>75</v>
      </c>
      <c r="C162" s="7" t="s">
        <v>162</v>
      </c>
      <c r="D162" s="7" t="s">
        <v>139</v>
      </c>
      <c r="E162" s="7">
        <v>5</v>
      </c>
      <c r="F162" s="7">
        <v>700</v>
      </c>
      <c r="G162" s="8">
        <f t="shared" si="6"/>
        <v>3500</v>
      </c>
      <c r="H162" s="8">
        <f t="shared" si="7"/>
        <v>700</v>
      </c>
      <c r="I162" s="8">
        <f t="shared" si="8"/>
        <v>5</v>
      </c>
    </row>
    <row r="163" spans="1:9" ht="21" customHeight="1" x14ac:dyDescent="0.3">
      <c r="A163" s="9"/>
      <c r="B163" s="4" t="s">
        <v>36</v>
      </c>
      <c r="C163" s="5" t="s">
        <v>164</v>
      </c>
      <c r="D163" s="4" t="s">
        <v>137</v>
      </c>
      <c r="E163" s="4">
        <v>3</v>
      </c>
      <c r="F163" s="4">
        <v>2500</v>
      </c>
      <c r="G163" s="5">
        <f t="shared" si="6"/>
        <v>7500</v>
      </c>
      <c r="H163" s="5">
        <f t="shared" si="7"/>
        <v>2500</v>
      </c>
      <c r="I163" s="5">
        <f t="shared" si="8"/>
        <v>3</v>
      </c>
    </row>
    <row r="164" spans="1:9" ht="21" customHeight="1" x14ac:dyDescent="0.3">
      <c r="A164" s="9"/>
      <c r="B164" s="7" t="s">
        <v>124</v>
      </c>
      <c r="C164" s="7" t="s">
        <v>161</v>
      </c>
      <c r="D164" s="7" t="s">
        <v>138</v>
      </c>
      <c r="E164" s="7">
        <v>5</v>
      </c>
      <c r="F164" s="7">
        <v>3500</v>
      </c>
      <c r="G164" s="8">
        <f t="shared" si="6"/>
        <v>17500</v>
      </c>
      <c r="H164" s="8">
        <f t="shared" si="7"/>
        <v>3500</v>
      </c>
      <c r="I164" s="8">
        <f t="shared" si="8"/>
        <v>5</v>
      </c>
    </row>
    <row r="165" spans="1:9" ht="21" customHeight="1" x14ac:dyDescent="0.3">
      <c r="A165" s="9"/>
      <c r="B165" s="4" t="s">
        <v>5</v>
      </c>
      <c r="C165" s="5" t="s">
        <v>164</v>
      </c>
      <c r="D165" s="4" t="s">
        <v>134</v>
      </c>
      <c r="E165" s="4">
        <v>5</v>
      </c>
      <c r="F165" s="4">
        <v>12000</v>
      </c>
      <c r="G165" s="5">
        <f t="shared" si="6"/>
        <v>60000</v>
      </c>
      <c r="H165" s="5">
        <f t="shared" si="7"/>
        <v>12000</v>
      </c>
      <c r="I165" s="5">
        <f t="shared" si="8"/>
        <v>5</v>
      </c>
    </row>
    <row r="166" spans="1:9" ht="21" customHeight="1" x14ac:dyDescent="0.3">
      <c r="A166" s="9"/>
      <c r="B166" s="7" t="s">
        <v>121</v>
      </c>
      <c r="C166" s="7" t="s">
        <v>163</v>
      </c>
      <c r="D166" s="7" t="s">
        <v>135</v>
      </c>
      <c r="E166" s="7">
        <v>1</v>
      </c>
      <c r="F166" s="7">
        <v>5000</v>
      </c>
      <c r="G166" s="8">
        <f t="shared" si="6"/>
        <v>5000</v>
      </c>
      <c r="H166" s="8">
        <f t="shared" si="7"/>
        <v>5000</v>
      </c>
      <c r="I166" s="8">
        <f t="shared" si="8"/>
        <v>1</v>
      </c>
    </row>
    <row r="167" spans="1:9" ht="21" customHeight="1" x14ac:dyDescent="0.3">
      <c r="A167" s="9"/>
      <c r="B167" s="4" t="s">
        <v>113</v>
      </c>
      <c r="C167" s="5" t="s">
        <v>165</v>
      </c>
      <c r="D167" s="4" t="s">
        <v>142</v>
      </c>
      <c r="E167" s="4">
        <v>3</v>
      </c>
      <c r="F167" s="4">
        <v>30000</v>
      </c>
      <c r="G167" s="5">
        <f t="shared" si="6"/>
        <v>90000</v>
      </c>
      <c r="H167" s="5">
        <f t="shared" si="7"/>
        <v>30000</v>
      </c>
      <c r="I167" s="5">
        <f t="shared" si="8"/>
        <v>3</v>
      </c>
    </row>
    <row r="168" spans="1:9" ht="21" customHeight="1" x14ac:dyDescent="0.3">
      <c r="A168" s="9"/>
      <c r="B168" s="7" t="s">
        <v>81</v>
      </c>
      <c r="C168" s="7" t="s">
        <v>162</v>
      </c>
      <c r="D168" s="7" t="s">
        <v>138</v>
      </c>
      <c r="E168" s="7">
        <v>3</v>
      </c>
      <c r="F168" s="7">
        <v>3500</v>
      </c>
      <c r="G168" s="8">
        <f t="shared" si="6"/>
        <v>10500</v>
      </c>
      <c r="H168" s="8">
        <f t="shared" si="7"/>
        <v>3500</v>
      </c>
      <c r="I168" s="8">
        <f t="shared" si="8"/>
        <v>3</v>
      </c>
    </row>
    <row r="169" spans="1:9" ht="21" customHeight="1" x14ac:dyDescent="0.3">
      <c r="A169" s="9"/>
      <c r="B169" s="4" t="s">
        <v>54</v>
      </c>
      <c r="C169" s="5" t="s">
        <v>168</v>
      </c>
      <c r="D169" s="4" t="s">
        <v>148</v>
      </c>
      <c r="E169" s="4">
        <v>1</v>
      </c>
      <c r="F169" s="4">
        <v>3000</v>
      </c>
      <c r="G169" s="5">
        <f t="shared" si="6"/>
        <v>3000</v>
      </c>
      <c r="H169" s="5">
        <f t="shared" si="7"/>
        <v>3000</v>
      </c>
      <c r="I169" s="5">
        <f t="shared" si="8"/>
        <v>1</v>
      </c>
    </row>
    <row r="170" spans="1:9" ht="21" customHeight="1" x14ac:dyDescent="0.3">
      <c r="A170" s="9"/>
      <c r="B170" s="7" t="s">
        <v>61</v>
      </c>
      <c r="C170" s="7" t="s">
        <v>165</v>
      </c>
      <c r="D170" s="7" t="s">
        <v>138</v>
      </c>
      <c r="E170" s="7">
        <v>5</v>
      </c>
      <c r="F170" s="7">
        <v>3500</v>
      </c>
      <c r="G170" s="8">
        <f t="shared" si="6"/>
        <v>17500</v>
      </c>
      <c r="H170" s="8">
        <f t="shared" si="7"/>
        <v>3500</v>
      </c>
      <c r="I170" s="8">
        <f t="shared" si="8"/>
        <v>5</v>
      </c>
    </row>
    <row r="171" spans="1:9" ht="21" customHeight="1" x14ac:dyDescent="0.3">
      <c r="A171" s="9"/>
      <c r="B171" s="4" t="s">
        <v>125</v>
      </c>
      <c r="C171" s="5" t="s">
        <v>163</v>
      </c>
      <c r="D171" s="4" t="s">
        <v>134</v>
      </c>
      <c r="E171" s="4">
        <v>1</v>
      </c>
      <c r="F171" s="4">
        <v>12000</v>
      </c>
      <c r="G171" s="5">
        <f t="shared" si="6"/>
        <v>12000</v>
      </c>
      <c r="H171" s="5">
        <f t="shared" si="7"/>
        <v>12000</v>
      </c>
      <c r="I171" s="5">
        <f t="shared" si="8"/>
        <v>1</v>
      </c>
    </row>
    <row r="172" spans="1:9" ht="21" customHeight="1" x14ac:dyDescent="0.3">
      <c r="A172" s="9"/>
      <c r="B172" s="7" t="s">
        <v>126</v>
      </c>
      <c r="C172" s="7" t="s">
        <v>165</v>
      </c>
      <c r="D172" s="7" t="s">
        <v>144</v>
      </c>
      <c r="E172" s="7">
        <v>5</v>
      </c>
      <c r="F172" s="7">
        <v>2200</v>
      </c>
      <c r="G172" s="8">
        <f t="shared" si="6"/>
        <v>11000</v>
      </c>
      <c r="H172" s="8">
        <f t="shared" si="7"/>
        <v>2200</v>
      </c>
      <c r="I172" s="8">
        <f t="shared" si="8"/>
        <v>5</v>
      </c>
    </row>
    <row r="173" spans="1:9" ht="21" customHeight="1" x14ac:dyDescent="0.3">
      <c r="A173" s="9"/>
      <c r="B173" s="4" t="s">
        <v>127</v>
      </c>
      <c r="C173" s="5" t="s">
        <v>164</v>
      </c>
      <c r="D173" s="4" t="s">
        <v>137</v>
      </c>
      <c r="E173" s="4">
        <v>2</v>
      </c>
      <c r="F173" s="4">
        <v>2500</v>
      </c>
      <c r="G173" s="5">
        <f t="shared" si="6"/>
        <v>5000</v>
      </c>
      <c r="H173" s="5">
        <f t="shared" si="7"/>
        <v>2500</v>
      </c>
      <c r="I173" s="5">
        <f t="shared" si="8"/>
        <v>2</v>
      </c>
    </row>
    <row r="174" spans="1:9" ht="21" customHeight="1" x14ac:dyDescent="0.3">
      <c r="A174" s="9"/>
      <c r="B174" s="7" t="s">
        <v>128</v>
      </c>
      <c r="C174" s="7" t="s">
        <v>167</v>
      </c>
      <c r="D174" s="7" t="s">
        <v>141</v>
      </c>
      <c r="E174" s="7">
        <v>1</v>
      </c>
      <c r="F174" s="7">
        <v>55000</v>
      </c>
      <c r="G174" s="8">
        <f t="shared" si="6"/>
        <v>55000</v>
      </c>
      <c r="H174" s="8">
        <f t="shared" si="7"/>
        <v>55000</v>
      </c>
      <c r="I174" s="8">
        <f t="shared" si="8"/>
        <v>1</v>
      </c>
    </row>
    <row r="175" spans="1:9" ht="21" customHeight="1" x14ac:dyDescent="0.3">
      <c r="A175" s="9"/>
      <c r="B175" s="4" t="s">
        <v>129</v>
      </c>
      <c r="C175" s="5" t="s">
        <v>169</v>
      </c>
      <c r="D175" s="4" t="s">
        <v>146</v>
      </c>
      <c r="E175" s="4">
        <v>3</v>
      </c>
      <c r="F175" s="4">
        <v>1000</v>
      </c>
      <c r="G175" s="5">
        <f t="shared" si="6"/>
        <v>3000</v>
      </c>
      <c r="H175" s="5">
        <f t="shared" si="7"/>
        <v>1000</v>
      </c>
      <c r="I175" s="5">
        <f t="shared" si="8"/>
        <v>3</v>
      </c>
    </row>
    <row r="176" spans="1:9" ht="21" customHeight="1" x14ac:dyDescent="0.3">
      <c r="A176" s="9"/>
      <c r="B176" s="7" t="s">
        <v>130</v>
      </c>
      <c r="C176" s="7" t="s">
        <v>161</v>
      </c>
      <c r="D176" s="7" t="s">
        <v>139</v>
      </c>
      <c r="E176" s="7">
        <v>3</v>
      </c>
      <c r="F176" s="7">
        <v>700</v>
      </c>
      <c r="G176" s="8">
        <f t="shared" si="6"/>
        <v>2100</v>
      </c>
      <c r="H176" s="8">
        <f t="shared" si="7"/>
        <v>700</v>
      </c>
      <c r="I176" s="8">
        <f t="shared" si="8"/>
        <v>3</v>
      </c>
    </row>
    <row r="177" spans="1:9" ht="21" customHeight="1" x14ac:dyDescent="0.3">
      <c r="A177" s="9"/>
      <c r="B177" s="4" t="s">
        <v>101</v>
      </c>
      <c r="C177" s="5" t="s">
        <v>169</v>
      </c>
      <c r="D177" s="4" t="s">
        <v>146</v>
      </c>
      <c r="E177" s="4">
        <v>5</v>
      </c>
      <c r="F177" s="4">
        <v>1000</v>
      </c>
      <c r="G177" s="5">
        <f t="shared" si="6"/>
        <v>5000</v>
      </c>
      <c r="H177" s="5">
        <f t="shared" si="7"/>
        <v>1000</v>
      </c>
      <c r="I177" s="5">
        <f t="shared" si="8"/>
        <v>5</v>
      </c>
    </row>
    <row r="178" spans="1:9" ht="21" customHeight="1" x14ac:dyDescent="0.3">
      <c r="A178" s="9"/>
      <c r="B178" s="7" t="s">
        <v>94</v>
      </c>
      <c r="C178" s="7" t="s">
        <v>164</v>
      </c>
      <c r="D178" s="7" t="s">
        <v>142</v>
      </c>
      <c r="E178" s="7">
        <v>4</v>
      </c>
      <c r="F178" s="7">
        <v>30000</v>
      </c>
      <c r="G178" s="8">
        <f t="shared" si="6"/>
        <v>120000</v>
      </c>
      <c r="H178" s="8">
        <f t="shared" si="7"/>
        <v>30000</v>
      </c>
      <c r="I178" s="8">
        <f t="shared" si="8"/>
        <v>4</v>
      </c>
    </row>
    <row r="179" spans="1:9" ht="21" customHeight="1" x14ac:dyDescent="0.3">
      <c r="A179" s="9"/>
      <c r="B179" s="4" t="s">
        <v>42</v>
      </c>
      <c r="C179" s="5" t="s">
        <v>164</v>
      </c>
      <c r="D179" s="4" t="s">
        <v>139</v>
      </c>
      <c r="E179" s="4">
        <v>1</v>
      </c>
      <c r="F179" s="4">
        <v>700</v>
      </c>
      <c r="G179" s="5">
        <f t="shared" si="6"/>
        <v>700</v>
      </c>
      <c r="H179" s="5">
        <f t="shared" si="7"/>
        <v>700</v>
      </c>
      <c r="I179" s="5">
        <f t="shared" si="8"/>
        <v>1</v>
      </c>
    </row>
    <row r="180" spans="1:9" ht="21" customHeight="1" x14ac:dyDescent="0.3">
      <c r="A180" s="9"/>
      <c r="B180" s="7" t="s">
        <v>131</v>
      </c>
      <c r="C180" s="7" t="s">
        <v>166</v>
      </c>
      <c r="D180" s="7" t="s">
        <v>146</v>
      </c>
      <c r="E180" s="7">
        <v>1</v>
      </c>
      <c r="F180" s="7">
        <v>1000</v>
      </c>
      <c r="G180" s="8">
        <f t="shared" si="6"/>
        <v>1000</v>
      </c>
      <c r="H180" s="8">
        <f t="shared" si="7"/>
        <v>1000</v>
      </c>
      <c r="I180" s="8">
        <f t="shared" si="8"/>
        <v>1</v>
      </c>
    </row>
    <row r="181" spans="1:9" ht="21" customHeight="1" x14ac:dyDescent="0.3">
      <c r="A181" s="9"/>
      <c r="B181" s="4" t="s">
        <v>95</v>
      </c>
      <c r="C181" s="5" t="s">
        <v>167</v>
      </c>
      <c r="D181" s="4" t="s">
        <v>145</v>
      </c>
      <c r="E181" s="4">
        <v>4</v>
      </c>
      <c r="F181" s="4">
        <v>20000</v>
      </c>
      <c r="G181" s="5">
        <f t="shared" si="6"/>
        <v>80000</v>
      </c>
      <c r="H181" s="5">
        <f t="shared" si="7"/>
        <v>20000</v>
      </c>
      <c r="I181" s="5">
        <f t="shared" si="8"/>
        <v>4</v>
      </c>
    </row>
    <row r="182" spans="1:9" ht="21" customHeight="1" x14ac:dyDescent="0.3">
      <c r="A182" s="9"/>
      <c r="B182" s="7" t="s">
        <v>132</v>
      </c>
      <c r="C182" s="7" t="s">
        <v>165</v>
      </c>
      <c r="D182" s="7" t="s">
        <v>143</v>
      </c>
      <c r="E182" s="7">
        <v>1</v>
      </c>
      <c r="F182" s="7">
        <v>600</v>
      </c>
      <c r="G182" s="8">
        <f t="shared" si="6"/>
        <v>600</v>
      </c>
      <c r="H182" s="8">
        <f t="shared" si="7"/>
        <v>600</v>
      </c>
      <c r="I182" s="8">
        <f t="shared" si="8"/>
        <v>1</v>
      </c>
    </row>
    <row r="183" spans="1:9" ht="21" customHeight="1" x14ac:dyDescent="0.3">
      <c r="A183" s="9"/>
      <c r="B183" s="4" t="s">
        <v>121</v>
      </c>
      <c r="C183" s="5" t="s">
        <v>163</v>
      </c>
      <c r="D183" s="4" t="s">
        <v>139</v>
      </c>
      <c r="E183" s="4">
        <v>5</v>
      </c>
      <c r="F183" s="4">
        <v>700</v>
      </c>
      <c r="G183" s="5">
        <f t="shared" si="6"/>
        <v>3500</v>
      </c>
      <c r="H183" s="5">
        <f t="shared" si="7"/>
        <v>700</v>
      </c>
      <c r="I183" s="5">
        <f t="shared" si="8"/>
        <v>5</v>
      </c>
    </row>
    <row r="184" spans="1:9" ht="21" customHeight="1" x14ac:dyDescent="0.3">
      <c r="A184" s="9"/>
      <c r="B184" s="7" t="s">
        <v>65</v>
      </c>
      <c r="C184" s="7" t="s">
        <v>166</v>
      </c>
      <c r="D184" s="7" t="s">
        <v>144</v>
      </c>
      <c r="E184" s="7">
        <v>5</v>
      </c>
      <c r="F184" s="7">
        <v>2200</v>
      </c>
      <c r="G184" s="8">
        <f t="shared" si="6"/>
        <v>11000</v>
      </c>
      <c r="H184" s="8">
        <f t="shared" si="7"/>
        <v>2200</v>
      </c>
      <c r="I184" s="8">
        <f t="shared" si="8"/>
        <v>5</v>
      </c>
    </row>
    <row r="185" spans="1:9" ht="21" customHeight="1" x14ac:dyDescent="0.3">
      <c r="A185" s="9"/>
      <c r="B185" s="4" t="s">
        <v>122</v>
      </c>
      <c r="C185" s="5" t="s">
        <v>162</v>
      </c>
      <c r="D185" s="4" t="s">
        <v>136</v>
      </c>
      <c r="E185" s="4">
        <v>3</v>
      </c>
      <c r="F185" s="4">
        <v>800</v>
      </c>
      <c r="G185" s="5">
        <f t="shared" si="6"/>
        <v>2400</v>
      </c>
      <c r="H185" s="5">
        <f t="shared" si="7"/>
        <v>800</v>
      </c>
      <c r="I185" s="5">
        <f t="shared" si="8"/>
        <v>3</v>
      </c>
    </row>
    <row r="186" spans="1:9" ht="21" customHeight="1" x14ac:dyDescent="0.3">
      <c r="A186" s="9"/>
      <c r="B186" s="7" t="s">
        <v>6</v>
      </c>
      <c r="C186" s="7" t="s">
        <v>165</v>
      </c>
      <c r="D186" s="7" t="s">
        <v>139</v>
      </c>
      <c r="E186" s="7">
        <v>1</v>
      </c>
      <c r="F186" s="7">
        <v>700</v>
      </c>
      <c r="G186" s="8">
        <f t="shared" si="6"/>
        <v>700</v>
      </c>
      <c r="H186" s="8">
        <f t="shared" si="7"/>
        <v>700</v>
      </c>
      <c r="I186" s="8">
        <f t="shared" si="8"/>
        <v>1</v>
      </c>
    </row>
    <row r="187" spans="1:9" ht="21" customHeight="1" x14ac:dyDescent="0.3">
      <c r="A187" s="9"/>
      <c r="B187" s="4" t="s">
        <v>123</v>
      </c>
      <c r="C187" s="5" t="s">
        <v>169</v>
      </c>
      <c r="D187" s="4" t="s">
        <v>138</v>
      </c>
      <c r="E187" s="4">
        <v>1</v>
      </c>
      <c r="F187" s="4">
        <v>3500</v>
      </c>
      <c r="G187" s="5">
        <f t="shared" si="6"/>
        <v>3500</v>
      </c>
      <c r="H187" s="5">
        <f t="shared" si="7"/>
        <v>3500</v>
      </c>
      <c r="I187" s="5">
        <f t="shared" si="8"/>
        <v>1</v>
      </c>
    </row>
    <row r="188" spans="1:9" ht="21" customHeight="1" x14ac:dyDescent="0.3">
      <c r="A188" s="9"/>
      <c r="B188" s="7" t="s">
        <v>75</v>
      </c>
      <c r="C188" s="7" t="s">
        <v>162</v>
      </c>
      <c r="D188" s="7" t="s">
        <v>136</v>
      </c>
      <c r="E188" s="7">
        <v>2</v>
      </c>
      <c r="F188" s="7">
        <v>800</v>
      </c>
      <c r="G188" s="8">
        <f t="shared" si="6"/>
        <v>1600</v>
      </c>
      <c r="H188" s="8">
        <f t="shared" si="7"/>
        <v>800</v>
      </c>
      <c r="I188" s="8">
        <f t="shared" si="8"/>
        <v>2</v>
      </c>
    </row>
    <row r="189" spans="1:9" ht="21" customHeight="1" x14ac:dyDescent="0.3">
      <c r="A189" s="9"/>
      <c r="B189" s="4" t="s">
        <v>36</v>
      </c>
      <c r="C189" s="5" t="s">
        <v>164</v>
      </c>
      <c r="D189" s="4" t="s">
        <v>139</v>
      </c>
      <c r="E189" s="4">
        <v>2</v>
      </c>
      <c r="F189" s="4">
        <v>700</v>
      </c>
      <c r="G189" s="5">
        <f t="shared" si="6"/>
        <v>1400</v>
      </c>
      <c r="H189" s="5">
        <f t="shared" si="7"/>
        <v>700</v>
      </c>
      <c r="I189" s="5">
        <f t="shared" si="8"/>
        <v>2</v>
      </c>
    </row>
    <row r="190" spans="1:9" ht="21" customHeight="1" x14ac:dyDescent="0.3">
      <c r="A190" s="9"/>
      <c r="B190" s="7" t="s">
        <v>124</v>
      </c>
      <c r="C190" s="7" t="s">
        <v>161</v>
      </c>
      <c r="D190" s="7" t="s">
        <v>136</v>
      </c>
      <c r="E190" s="7">
        <v>1</v>
      </c>
      <c r="F190" s="7">
        <v>800</v>
      </c>
      <c r="G190" s="8">
        <f t="shared" si="6"/>
        <v>800</v>
      </c>
      <c r="H190" s="8">
        <f t="shared" si="7"/>
        <v>800</v>
      </c>
      <c r="I190" s="8">
        <f t="shared" si="8"/>
        <v>1</v>
      </c>
    </row>
    <row r="191" spans="1:9" ht="21" customHeight="1" x14ac:dyDescent="0.3">
      <c r="A191" s="9"/>
      <c r="B191" s="4" t="s">
        <v>5</v>
      </c>
      <c r="C191" s="5" t="s">
        <v>164</v>
      </c>
      <c r="D191" s="4" t="s">
        <v>142</v>
      </c>
      <c r="E191" s="4">
        <v>2</v>
      </c>
      <c r="F191" s="4">
        <v>30000</v>
      </c>
      <c r="G191" s="5">
        <f t="shared" si="6"/>
        <v>60000</v>
      </c>
      <c r="H191" s="5">
        <f t="shared" si="7"/>
        <v>30000</v>
      </c>
      <c r="I191" s="5">
        <f t="shared" si="8"/>
        <v>2</v>
      </c>
    </row>
    <row r="192" spans="1:9" ht="21" customHeight="1" x14ac:dyDescent="0.3">
      <c r="A192" s="9"/>
      <c r="B192" s="7" t="s">
        <v>121</v>
      </c>
      <c r="C192" s="7" t="s">
        <v>163</v>
      </c>
      <c r="D192" s="7" t="s">
        <v>136</v>
      </c>
      <c r="E192" s="7">
        <v>3</v>
      </c>
      <c r="F192" s="7">
        <v>800</v>
      </c>
      <c r="G192" s="8">
        <f t="shared" si="6"/>
        <v>2400</v>
      </c>
      <c r="H192" s="8">
        <f t="shared" si="7"/>
        <v>800</v>
      </c>
      <c r="I192" s="8">
        <f t="shared" si="8"/>
        <v>3</v>
      </c>
    </row>
    <row r="193" spans="1:9" ht="21" customHeight="1" x14ac:dyDescent="0.3">
      <c r="A193" s="9"/>
      <c r="B193" s="4" t="s">
        <v>113</v>
      </c>
      <c r="C193" s="5" t="s">
        <v>165</v>
      </c>
      <c r="D193" s="4" t="s">
        <v>139</v>
      </c>
      <c r="E193" s="4">
        <v>3</v>
      </c>
      <c r="F193" s="4">
        <v>700</v>
      </c>
      <c r="G193" s="5">
        <f t="shared" si="6"/>
        <v>2100</v>
      </c>
      <c r="H193" s="5">
        <f t="shared" si="7"/>
        <v>700</v>
      </c>
      <c r="I193" s="5">
        <f t="shared" si="8"/>
        <v>3</v>
      </c>
    </row>
    <row r="194" spans="1:9" ht="21" customHeight="1" x14ac:dyDescent="0.3">
      <c r="A194" s="9"/>
      <c r="B194" s="7" t="s">
        <v>81</v>
      </c>
      <c r="C194" s="7" t="s">
        <v>162</v>
      </c>
      <c r="D194" s="7" t="s">
        <v>135</v>
      </c>
      <c r="E194" s="7">
        <v>5</v>
      </c>
      <c r="F194" s="7">
        <v>5000</v>
      </c>
      <c r="G194" s="8">
        <f t="shared" si="6"/>
        <v>25000</v>
      </c>
      <c r="H194" s="8">
        <f t="shared" si="7"/>
        <v>5000</v>
      </c>
      <c r="I194" s="8">
        <f t="shared" si="8"/>
        <v>5</v>
      </c>
    </row>
    <row r="195" spans="1:9" ht="21" customHeight="1" x14ac:dyDescent="0.3">
      <c r="A195" s="9"/>
      <c r="B195" s="4" t="s">
        <v>54</v>
      </c>
      <c r="C195" s="5" t="s">
        <v>168</v>
      </c>
      <c r="D195" s="4" t="s">
        <v>136</v>
      </c>
      <c r="E195" s="4">
        <v>2</v>
      </c>
      <c r="F195" s="4">
        <v>800</v>
      </c>
      <c r="G195" s="5">
        <f t="shared" si="6"/>
        <v>1600</v>
      </c>
      <c r="H195" s="5">
        <f t="shared" si="7"/>
        <v>800</v>
      </c>
      <c r="I195" s="5">
        <f t="shared" si="8"/>
        <v>2</v>
      </c>
    </row>
    <row r="196" spans="1:9" ht="21" customHeight="1" x14ac:dyDescent="0.3">
      <c r="A196" s="9"/>
      <c r="B196" s="7" t="s">
        <v>61</v>
      </c>
      <c r="C196" s="7" t="s">
        <v>165</v>
      </c>
      <c r="D196" s="7" t="s">
        <v>141</v>
      </c>
      <c r="E196" s="7">
        <v>3</v>
      </c>
      <c r="F196" s="7">
        <v>55000</v>
      </c>
      <c r="G196" s="8">
        <f t="shared" ref="G196:G202" si="9">SUMPRODUCT(E196*F196)</f>
        <v>165000</v>
      </c>
      <c r="H196" s="8">
        <f t="shared" ref="H196:H202" si="10">G196/E196</f>
        <v>55000</v>
      </c>
      <c r="I196" s="8">
        <f t="shared" ref="I196:I202" si="11">SUM(E196)</f>
        <v>3</v>
      </c>
    </row>
    <row r="197" spans="1:9" ht="21" customHeight="1" x14ac:dyDescent="0.3">
      <c r="A197" s="9"/>
      <c r="B197" s="4" t="s">
        <v>125</v>
      </c>
      <c r="C197" s="5" t="s">
        <v>163</v>
      </c>
      <c r="D197" s="4" t="s">
        <v>139</v>
      </c>
      <c r="E197" s="4">
        <v>1</v>
      </c>
      <c r="F197" s="4">
        <v>700</v>
      </c>
      <c r="G197" s="5">
        <f t="shared" si="9"/>
        <v>700</v>
      </c>
      <c r="H197" s="5">
        <f t="shared" si="10"/>
        <v>700</v>
      </c>
      <c r="I197" s="5">
        <f t="shared" si="11"/>
        <v>1</v>
      </c>
    </row>
    <row r="198" spans="1:9" ht="21" customHeight="1" x14ac:dyDescent="0.3">
      <c r="A198" s="9"/>
      <c r="B198" s="7" t="s">
        <v>126</v>
      </c>
      <c r="C198" s="7" t="s">
        <v>165</v>
      </c>
      <c r="D198" s="7" t="s">
        <v>139</v>
      </c>
      <c r="E198" s="7">
        <v>2</v>
      </c>
      <c r="F198" s="7">
        <v>700</v>
      </c>
      <c r="G198" s="8">
        <f t="shared" si="9"/>
        <v>1400</v>
      </c>
      <c r="H198" s="8">
        <f t="shared" si="10"/>
        <v>700</v>
      </c>
      <c r="I198" s="8">
        <f t="shared" si="11"/>
        <v>2</v>
      </c>
    </row>
    <row r="199" spans="1:9" ht="21" customHeight="1" x14ac:dyDescent="0.3">
      <c r="A199" s="9"/>
      <c r="B199" s="4" t="s">
        <v>127</v>
      </c>
      <c r="C199" s="5" t="s">
        <v>164</v>
      </c>
      <c r="D199" s="4" t="s">
        <v>137</v>
      </c>
      <c r="E199" s="4">
        <v>5</v>
      </c>
      <c r="F199" s="4">
        <v>2500</v>
      </c>
      <c r="G199" s="5">
        <f t="shared" si="9"/>
        <v>12500</v>
      </c>
      <c r="H199" s="5">
        <f t="shared" si="10"/>
        <v>2500</v>
      </c>
      <c r="I199" s="5">
        <f t="shared" si="11"/>
        <v>5</v>
      </c>
    </row>
    <row r="200" spans="1:9" ht="21" customHeight="1" x14ac:dyDescent="0.3">
      <c r="A200" s="9"/>
      <c r="B200" s="7" t="s">
        <v>128</v>
      </c>
      <c r="C200" s="7" t="s">
        <v>167</v>
      </c>
      <c r="D200" s="7" t="s">
        <v>144</v>
      </c>
      <c r="E200" s="7">
        <v>1</v>
      </c>
      <c r="F200" s="7">
        <v>2200</v>
      </c>
      <c r="G200" s="8">
        <f t="shared" si="9"/>
        <v>2200</v>
      </c>
      <c r="H200" s="8">
        <f t="shared" si="10"/>
        <v>2200</v>
      </c>
      <c r="I200" s="8">
        <f t="shared" si="11"/>
        <v>1</v>
      </c>
    </row>
    <row r="201" spans="1:9" ht="21" customHeight="1" x14ac:dyDescent="0.3">
      <c r="A201" s="9"/>
      <c r="B201" s="4" t="s">
        <v>129</v>
      </c>
      <c r="C201" s="5" t="s">
        <v>169</v>
      </c>
      <c r="D201" s="4" t="s">
        <v>142</v>
      </c>
      <c r="E201" s="4">
        <v>4</v>
      </c>
      <c r="F201" s="4">
        <v>30000</v>
      </c>
      <c r="G201" s="5">
        <f t="shared" si="9"/>
        <v>120000</v>
      </c>
      <c r="H201" s="5">
        <f t="shared" si="10"/>
        <v>30000</v>
      </c>
      <c r="I201" s="5">
        <f t="shared" si="11"/>
        <v>4</v>
      </c>
    </row>
    <row r="202" spans="1:9" ht="21" customHeight="1" x14ac:dyDescent="0.3">
      <c r="A202" s="9"/>
      <c r="B202" s="7" t="s">
        <v>95</v>
      </c>
      <c r="C202" s="7" t="s">
        <v>167</v>
      </c>
      <c r="D202" s="7" t="s">
        <v>137</v>
      </c>
      <c r="E202" s="7">
        <v>5</v>
      </c>
      <c r="F202" s="7">
        <v>2500</v>
      </c>
      <c r="G202" s="8">
        <f t="shared" si="9"/>
        <v>12500</v>
      </c>
      <c r="H202" s="8">
        <f t="shared" si="10"/>
        <v>2500</v>
      </c>
      <c r="I202" s="8">
        <f t="shared" si="11"/>
        <v>5</v>
      </c>
    </row>
    <row r="203" spans="1:9" x14ac:dyDescent="0.3">
      <c r="A203" s="12"/>
    </row>
    <row r="204" spans="1:9" x14ac:dyDescent="0.3">
      <c r="A204" s="12"/>
    </row>
    <row r="205" spans="1:9" x14ac:dyDescent="0.3">
      <c r="A205" s="12"/>
    </row>
    <row r="206" spans="1:9" x14ac:dyDescent="0.3">
      <c r="A206" s="12"/>
    </row>
    <row r="207" spans="1:9" x14ac:dyDescent="0.3">
      <c r="A207" s="12"/>
    </row>
    <row r="208" spans="1:9" x14ac:dyDescent="0.3">
      <c r="A208" s="12"/>
    </row>
    <row r="209" spans="1:1" x14ac:dyDescent="0.3">
      <c r="A209" s="12"/>
    </row>
    <row r="210" spans="1:1" x14ac:dyDescent="0.3">
      <c r="A210" s="12"/>
    </row>
    <row r="211" spans="1:1" x14ac:dyDescent="0.3">
      <c r="A211" s="12"/>
    </row>
    <row r="212" spans="1:1" x14ac:dyDescent="0.3">
      <c r="A212" s="12"/>
    </row>
    <row r="213" spans="1:1" x14ac:dyDescent="0.3">
      <c r="A213" s="12"/>
    </row>
    <row r="214" spans="1:1" x14ac:dyDescent="0.3">
      <c r="A214" s="12"/>
    </row>
    <row r="215" spans="1:1" x14ac:dyDescent="0.3">
      <c r="A215" s="12"/>
    </row>
    <row r="216" spans="1:1" x14ac:dyDescent="0.3">
      <c r="A216" s="12"/>
    </row>
    <row r="217" spans="1:1" x14ac:dyDescent="0.3">
      <c r="A217" s="12"/>
    </row>
    <row r="218" spans="1:1" x14ac:dyDescent="0.3">
      <c r="A218" s="12"/>
    </row>
    <row r="219" spans="1:1" x14ac:dyDescent="0.3">
      <c r="A219" s="12"/>
    </row>
    <row r="220" spans="1:1" x14ac:dyDescent="0.3">
      <c r="A220" s="12"/>
    </row>
    <row r="221" spans="1:1" x14ac:dyDescent="0.3">
      <c r="A221" s="12"/>
    </row>
    <row r="222" spans="1:1" x14ac:dyDescent="0.3">
      <c r="A222" s="12"/>
    </row>
    <row r="223" spans="1:1" x14ac:dyDescent="0.3">
      <c r="A223" s="12"/>
    </row>
    <row r="224" spans="1:1" x14ac:dyDescent="0.3">
      <c r="A224" s="12"/>
    </row>
    <row r="225" spans="1:1" x14ac:dyDescent="0.3">
      <c r="A225" s="12"/>
    </row>
    <row r="226" spans="1:1" x14ac:dyDescent="0.3">
      <c r="A226" s="12"/>
    </row>
    <row r="227" spans="1:1" x14ac:dyDescent="0.3">
      <c r="A227" s="12"/>
    </row>
    <row r="228" spans="1:1" x14ac:dyDescent="0.3">
      <c r="A228" s="12"/>
    </row>
    <row r="229" spans="1:1" x14ac:dyDescent="0.3">
      <c r="A229" s="12"/>
    </row>
    <row r="230" spans="1:1" x14ac:dyDescent="0.3">
      <c r="A230" s="12"/>
    </row>
    <row r="231" spans="1:1" x14ac:dyDescent="0.3">
      <c r="A231" s="12"/>
    </row>
    <row r="232" spans="1:1" x14ac:dyDescent="0.3">
      <c r="A232" s="12"/>
    </row>
    <row r="233" spans="1:1" x14ac:dyDescent="0.3">
      <c r="A233" s="12"/>
    </row>
    <row r="234" spans="1:1" x14ac:dyDescent="0.3">
      <c r="A234" s="12"/>
    </row>
    <row r="235" spans="1:1" x14ac:dyDescent="0.3">
      <c r="A235" s="12"/>
    </row>
    <row r="236" spans="1:1" x14ac:dyDescent="0.3">
      <c r="A236" s="12"/>
    </row>
    <row r="237" spans="1:1" x14ac:dyDescent="0.3">
      <c r="A237" s="12"/>
    </row>
    <row r="238" spans="1:1" x14ac:dyDescent="0.3">
      <c r="A238" s="12"/>
    </row>
    <row r="239" spans="1:1" x14ac:dyDescent="0.3">
      <c r="A239" s="12"/>
    </row>
    <row r="240" spans="1:1" x14ac:dyDescent="0.3">
      <c r="A240" s="12"/>
    </row>
    <row r="241" spans="1:1" x14ac:dyDescent="0.3">
      <c r="A241" s="12"/>
    </row>
    <row r="242" spans="1:1" x14ac:dyDescent="0.3">
      <c r="A242" s="12"/>
    </row>
    <row r="243" spans="1:1" x14ac:dyDescent="0.3">
      <c r="A243" s="12"/>
    </row>
    <row r="244" spans="1:1" x14ac:dyDescent="0.3">
      <c r="A244" s="12"/>
    </row>
    <row r="245" spans="1:1" x14ac:dyDescent="0.3">
      <c r="A245" s="12"/>
    </row>
    <row r="246" spans="1:1" x14ac:dyDescent="0.3">
      <c r="A246" s="12"/>
    </row>
    <row r="247" spans="1:1" x14ac:dyDescent="0.3">
      <c r="A247" s="12"/>
    </row>
    <row r="248" spans="1:1" x14ac:dyDescent="0.3">
      <c r="A248" s="12"/>
    </row>
    <row r="249" spans="1:1" x14ac:dyDescent="0.3">
      <c r="A249" s="12"/>
    </row>
    <row r="250" spans="1:1" x14ac:dyDescent="0.3">
      <c r="A250" s="12"/>
    </row>
    <row r="251" spans="1:1" x14ac:dyDescent="0.3">
      <c r="A251" s="12"/>
    </row>
    <row r="252" spans="1:1" x14ac:dyDescent="0.3">
      <c r="A252" s="12"/>
    </row>
    <row r="253" spans="1:1" x14ac:dyDescent="0.3">
      <c r="A253" s="12"/>
    </row>
    <row r="254" spans="1:1" x14ac:dyDescent="0.3">
      <c r="A254" s="12"/>
    </row>
    <row r="255" spans="1:1" x14ac:dyDescent="0.3">
      <c r="A255" s="12"/>
    </row>
    <row r="256" spans="1:1" x14ac:dyDescent="0.3">
      <c r="A256" s="12"/>
    </row>
    <row r="257" spans="1:1" x14ac:dyDescent="0.3">
      <c r="A257" s="12"/>
    </row>
    <row r="258" spans="1:1" x14ac:dyDescent="0.3">
      <c r="A258" s="12"/>
    </row>
    <row r="259" spans="1:1" x14ac:dyDescent="0.3">
      <c r="A259" s="12"/>
    </row>
    <row r="260" spans="1:1" x14ac:dyDescent="0.3">
      <c r="A260" s="12"/>
    </row>
    <row r="261" spans="1:1" x14ac:dyDescent="0.3">
      <c r="A261" s="12"/>
    </row>
    <row r="262" spans="1:1" x14ac:dyDescent="0.3">
      <c r="A262" s="12"/>
    </row>
    <row r="263" spans="1:1" x14ac:dyDescent="0.3">
      <c r="A263" s="12"/>
    </row>
    <row r="264" spans="1:1" x14ac:dyDescent="0.3">
      <c r="A264" s="12"/>
    </row>
    <row r="265" spans="1:1" x14ac:dyDescent="0.3">
      <c r="A265" s="12"/>
    </row>
    <row r="266" spans="1:1" x14ac:dyDescent="0.3">
      <c r="A266" s="12"/>
    </row>
    <row r="267" spans="1:1" x14ac:dyDescent="0.3">
      <c r="A267" s="12"/>
    </row>
    <row r="268" spans="1:1" x14ac:dyDescent="0.3">
      <c r="A268" s="12"/>
    </row>
    <row r="269" spans="1:1" x14ac:dyDescent="0.3">
      <c r="A269" s="12"/>
    </row>
    <row r="270" spans="1:1" x14ac:dyDescent="0.3">
      <c r="A270" s="12"/>
    </row>
    <row r="271" spans="1:1" x14ac:dyDescent="0.3">
      <c r="A271" s="12"/>
    </row>
    <row r="272" spans="1:1" x14ac:dyDescent="0.3">
      <c r="A272" s="12"/>
    </row>
    <row r="273" spans="1:1" x14ac:dyDescent="0.3">
      <c r="A273" s="12"/>
    </row>
    <row r="274" spans="1:1" x14ac:dyDescent="0.3">
      <c r="A274" s="12"/>
    </row>
    <row r="275" spans="1:1" x14ac:dyDescent="0.3">
      <c r="A275" s="12"/>
    </row>
    <row r="276" spans="1:1" x14ac:dyDescent="0.3">
      <c r="A276" s="12"/>
    </row>
    <row r="277" spans="1:1" x14ac:dyDescent="0.3">
      <c r="A277" s="12"/>
    </row>
    <row r="278" spans="1:1" x14ac:dyDescent="0.3">
      <c r="A278" s="12"/>
    </row>
    <row r="279" spans="1:1" x14ac:dyDescent="0.3">
      <c r="A279" s="12"/>
    </row>
    <row r="280" spans="1:1" x14ac:dyDescent="0.3">
      <c r="A280" s="12"/>
    </row>
    <row r="281" spans="1:1" x14ac:dyDescent="0.3">
      <c r="A281" s="12"/>
    </row>
    <row r="282" spans="1:1" x14ac:dyDescent="0.3">
      <c r="A282" s="12"/>
    </row>
    <row r="283" spans="1:1" x14ac:dyDescent="0.3">
      <c r="A283" s="12"/>
    </row>
    <row r="284" spans="1:1" x14ac:dyDescent="0.3">
      <c r="A284" s="12"/>
    </row>
    <row r="285" spans="1:1" x14ac:dyDescent="0.3">
      <c r="A285" s="12"/>
    </row>
    <row r="286" spans="1:1" x14ac:dyDescent="0.3">
      <c r="A286" s="12"/>
    </row>
    <row r="287" spans="1:1" x14ac:dyDescent="0.3">
      <c r="A287" s="12"/>
    </row>
    <row r="288" spans="1:1" x14ac:dyDescent="0.3">
      <c r="A288" s="12"/>
    </row>
    <row r="289" spans="1:1" x14ac:dyDescent="0.3">
      <c r="A289" s="12"/>
    </row>
    <row r="290" spans="1:1" x14ac:dyDescent="0.3">
      <c r="A290" s="12"/>
    </row>
    <row r="291" spans="1:1" x14ac:dyDescent="0.3">
      <c r="A291" s="12"/>
    </row>
    <row r="292" spans="1:1" x14ac:dyDescent="0.3">
      <c r="A292" s="12"/>
    </row>
    <row r="293" spans="1:1" x14ac:dyDescent="0.3">
      <c r="A293" s="12"/>
    </row>
    <row r="294" spans="1:1" x14ac:dyDescent="0.3">
      <c r="A294" s="12"/>
    </row>
    <row r="295" spans="1:1" x14ac:dyDescent="0.3">
      <c r="A295" s="12"/>
    </row>
    <row r="296" spans="1:1" x14ac:dyDescent="0.3">
      <c r="A296" s="12"/>
    </row>
    <row r="297" spans="1:1" x14ac:dyDescent="0.3">
      <c r="A297" s="12"/>
    </row>
    <row r="298" spans="1:1" x14ac:dyDescent="0.3">
      <c r="A298" s="12"/>
    </row>
    <row r="299" spans="1:1" x14ac:dyDescent="0.3">
      <c r="A299" s="12"/>
    </row>
    <row r="300" spans="1:1" x14ac:dyDescent="0.3">
      <c r="A300" s="12"/>
    </row>
    <row r="301" spans="1:1" x14ac:dyDescent="0.3">
      <c r="A301" s="12"/>
    </row>
    <row r="302" spans="1:1" x14ac:dyDescent="0.3">
      <c r="A302" s="12"/>
    </row>
    <row r="303" spans="1:1" x14ac:dyDescent="0.3">
      <c r="A303" s="12"/>
    </row>
    <row r="304" spans="1:1" x14ac:dyDescent="0.3">
      <c r="A304" s="12"/>
    </row>
    <row r="305" spans="1:1" x14ac:dyDescent="0.3">
      <c r="A305" s="12"/>
    </row>
    <row r="306" spans="1:1" x14ac:dyDescent="0.3">
      <c r="A306" s="12"/>
    </row>
    <row r="307" spans="1:1" x14ac:dyDescent="0.3">
      <c r="A307" s="12"/>
    </row>
    <row r="308" spans="1:1" x14ac:dyDescent="0.3">
      <c r="A308" s="12"/>
    </row>
    <row r="309" spans="1:1" x14ac:dyDescent="0.3">
      <c r="A309" s="12"/>
    </row>
    <row r="310" spans="1:1" x14ac:dyDescent="0.3">
      <c r="A310" s="12"/>
    </row>
    <row r="311" spans="1:1" x14ac:dyDescent="0.3">
      <c r="A311" s="12"/>
    </row>
    <row r="312" spans="1:1" x14ac:dyDescent="0.3">
      <c r="A312" s="12"/>
    </row>
    <row r="313" spans="1:1" x14ac:dyDescent="0.3">
      <c r="A313" s="12"/>
    </row>
    <row r="314" spans="1:1" x14ac:dyDescent="0.3">
      <c r="A314" s="12"/>
    </row>
    <row r="315" spans="1:1" x14ac:dyDescent="0.3">
      <c r="A315" s="12"/>
    </row>
    <row r="316" spans="1:1" x14ac:dyDescent="0.3">
      <c r="A316" s="12"/>
    </row>
    <row r="317" spans="1:1" x14ac:dyDescent="0.3">
      <c r="A317" s="12"/>
    </row>
    <row r="318" spans="1:1" x14ac:dyDescent="0.3">
      <c r="A318" s="12"/>
    </row>
    <row r="319" spans="1:1" x14ac:dyDescent="0.3">
      <c r="A319" s="12"/>
    </row>
    <row r="320" spans="1:1" x14ac:dyDescent="0.3">
      <c r="A320" s="12"/>
    </row>
    <row r="321" spans="1:1" x14ac:dyDescent="0.3">
      <c r="A321" s="12"/>
    </row>
    <row r="322" spans="1:1" x14ac:dyDescent="0.3">
      <c r="A322" s="12"/>
    </row>
    <row r="323" spans="1:1" x14ac:dyDescent="0.3">
      <c r="A323" s="12"/>
    </row>
    <row r="324" spans="1:1" x14ac:dyDescent="0.3">
      <c r="A324" s="12"/>
    </row>
    <row r="325" spans="1:1" x14ac:dyDescent="0.3">
      <c r="A325" s="12"/>
    </row>
    <row r="326" spans="1:1" x14ac:dyDescent="0.3">
      <c r="A326" s="12"/>
    </row>
    <row r="327" spans="1:1" x14ac:dyDescent="0.3">
      <c r="A327" s="12"/>
    </row>
    <row r="328" spans="1:1" x14ac:dyDescent="0.3">
      <c r="A328" s="12"/>
    </row>
    <row r="329" spans="1:1" x14ac:dyDescent="0.3">
      <c r="A329" s="12"/>
    </row>
    <row r="330" spans="1:1" x14ac:dyDescent="0.3">
      <c r="A330" s="12"/>
    </row>
    <row r="331" spans="1:1" x14ac:dyDescent="0.3">
      <c r="A331" s="12"/>
    </row>
    <row r="332" spans="1:1" x14ac:dyDescent="0.3">
      <c r="A332" s="12"/>
    </row>
    <row r="333" spans="1:1" x14ac:dyDescent="0.3">
      <c r="A333" s="12"/>
    </row>
    <row r="334" spans="1:1" x14ac:dyDescent="0.3">
      <c r="A334" s="12"/>
    </row>
    <row r="335" spans="1:1" x14ac:dyDescent="0.3">
      <c r="A335" s="12"/>
    </row>
    <row r="336" spans="1:1" x14ac:dyDescent="0.3">
      <c r="A336" s="12"/>
    </row>
    <row r="337" spans="1:1" x14ac:dyDescent="0.3">
      <c r="A337" s="12"/>
    </row>
    <row r="338" spans="1:1" x14ac:dyDescent="0.3">
      <c r="A338" s="12"/>
    </row>
    <row r="339" spans="1:1" x14ac:dyDescent="0.3">
      <c r="A339" s="12"/>
    </row>
    <row r="340" spans="1:1" x14ac:dyDescent="0.3">
      <c r="A340" s="12"/>
    </row>
    <row r="341" spans="1:1" x14ac:dyDescent="0.3">
      <c r="A341" s="12"/>
    </row>
    <row r="342" spans="1:1" x14ac:dyDescent="0.3">
      <c r="A342" s="12"/>
    </row>
    <row r="343" spans="1:1" x14ac:dyDescent="0.3">
      <c r="A343" s="12"/>
    </row>
    <row r="344" spans="1:1" x14ac:dyDescent="0.3">
      <c r="A344" s="12"/>
    </row>
    <row r="345" spans="1:1" x14ac:dyDescent="0.3">
      <c r="A345" s="12"/>
    </row>
    <row r="346" spans="1:1" x14ac:dyDescent="0.3">
      <c r="A346" s="12"/>
    </row>
    <row r="347" spans="1:1" x14ac:dyDescent="0.3">
      <c r="A347" s="12"/>
    </row>
    <row r="348" spans="1:1" x14ac:dyDescent="0.3">
      <c r="A348" s="12"/>
    </row>
    <row r="349" spans="1:1" x14ac:dyDescent="0.3">
      <c r="A349" s="12"/>
    </row>
    <row r="350" spans="1:1" x14ac:dyDescent="0.3">
      <c r="A350" s="12"/>
    </row>
    <row r="351" spans="1:1" x14ac:dyDescent="0.3">
      <c r="A351" s="12"/>
    </row>
    <row r="352" spans="1:1" x14ac:dyDescent="0.3">
      <c r="A352" s="12"/>
    </row>
    <row r="353" spans="1:1" x14ac:dyDescent="0.3">
      <c r="A353" s="12"/>
    </row>
    <row r="354" spans="1:1" x14ac:dyDescent="0.3">
      <c r="A354" s="12"/>
    </row>
    <row r="355" spans="1:1" x14ac:dyDescent="0.3">
      <c r="A355" s="12"/>
    </row>
    <row r="356" spans="1:1" x14ac:dyDescent="0.3">
      <c r="A356" s="12"/>
    </row>
    <row r="357" spans="1:1" x14ac:dyDescent="0.3">
      <c r="A357" s="12"/>
    </row>
    <row r="358" spans="1:1" x14ac:dyDescent="0.3">
      <c r="A358" s="12"/>
    </row>
    <row r="359" spans="1:1" x14ac:dyDescent="0.3">
      <c r="A359" s="12"/>
    </row>
    <row r="360" spans="1:1" x14ac:dyDescent="0.3">
      <c r="A360" s="12"/>
    </row>
    <row r="361" spans="1:1" x14ac:dyDescent="0.3">
      <c r="A361" s="12"/>
    </row>
    <row r="362" spans="1:1" x14ac:dyDescent="0.3">
      <c r="A362" s="12"/>
    </row>
    <row r="363" spans="1:1" x14ac:dyDescent="0.3">
      <c r="A363" s="12"/>
    </row>
    <row r="364" spans="1:1" x14ac:dyDescent="0.3">
      <c r="A364" s="12"/>
    </row>
    <row r="365" spans="1:1" x14ac:dyDescent="0.3">
      <c r="A365" s="12"/>
    </row>
    <row r="366" spans="1:1" x14ac:dyDescent="0.3">
      <c r="A366" s="12"/>
    </row>
    <row r="367" spans="1:1" x14ac:dyDescent="0.3">
      <c r="A367" s="12"/>
    </row>
    <row r="368" spans="1:1" x14ac:dyDescent="0.3">
      <c r="A368" s="12"/>
    </row>
    <row r="369" spans="1:1" x14ac:dyDescent="0.3">
      <c r="A369" s="12"/>
    </row>
    <row r="370" spans="1:1" x14ac:dyDescent="0.3">
      <c r="A370" s="12"/>
    </row>
    <row r="371" spans="1:1" x14ac:dyDescent="0.3">
      <c r="A371" s="12"/>
    </row>
    <row r="372" spans="1:1" x14ac:dyDescent="0.3">
      <c r="A372" s="12"/>
    </row>
    <row r="373" spans="1:1" x14ac:dyDescent="0.3">
      <c r="A373" s="12"/>
    </row>
    <row r="374" spans="1:1" x14ac:dyDescent="0.3">
      <c r="A374" s="12"/>
    </row>
    <row r="375" spans="1:1" x14ac:dyDescent="0.3">
      <c r="A375" s="12"/>
    </row>
    <row r="376" spans="1:1" x14ac:dyDescent="0.3">
      <c r="A376" s="12"/>
    </row>
    <row r="377" spans="1:1" x14ac:dyDescent="0.3">
      <c r="A377" s="12"/>
    </row>
    <row r="378" spans="1:1" x14ac:dyDescent="0.3">
      <c r="A378" s="12"/>
    </row>
    <row r="379" spans="1:1" x14ac:dyDescent="0.3">
      <c r="A379" s="12"/>
    </row>
    <row r="380" spans="1:1" x14ac:dyDescent="0.3">
      <c r="A380" s="12"/>
    </row>
    <row r="381" spans="1:1" x14ac:dyDescent="0.3">
      <c r="A381" s="12"/>
    </row>
    <row r="382" spans="1:1" x14ac:dyDescent="0.3">
      <c r="A382" s="12"/>
    </row>
    <row r="383" spans="1:1" x14ac:dyDescent="0.3">
      <c r="A383" s="12"/>
    </row>
    <row r="384" spans="1:1" x14ac:dyDescent="0.3">
      <c r="A384" s="12"/>
    </row>
    <row r="385" spans="1:1" x14ac:dyDescent="0.3">
      <c r="A385" s="12"/>
    </row>
    <row r="386" spans="1:1" x14ac:dyDescent="0.3">
      <c r="A386" s="12"/>
    </row>
    <row r="387" spans="1:1" x14ac:dyDescent="0.3">
      <c r="A387" s="12"/>
    </row>
    <row r="388" spans="1:1" x14ac:dyDescent="0.3">
      <c r="A388" s="12"/>
    </row>
    <row r="389" spans="1:1" x14ac:dyDescent="0.3">
      <c r="A389" s="12"/>
    </row>
    <row r="390" spans="1:1" x14ac:dyDescent="0.3">
      <c r="A390" s="12"/>
    </row>
    <row r="391" spans="1:1" x14ac:dyDescent="0.3">
      <c r="A391" s="12"/>
    </row>
    <row r="392" spans="1:1" x14ac:dyDescent="0.3">
      <c r="A392" s="12"/>
    </row>
    <row r="393" spans="1:1" x14ac:dyDescent="0.3">
      <c r="A393" s="12"/>
    </row>
    <row r="394" spans="1:1" x14ac:dyDescent="0.3">
      <c r="A394" s="12"/>
    </row>
    <row r="395" spans="1:1" x14ac:dyDescent="0.3">
      <c r="A395" s="12"/>
    </row>
    <row r="396" spans="1:1" x14ac:dyDescent="0.3">
      <c r="A396" s="12"/>
    </row>
    <row r="397" spans="1:1" x14ac:dyDescent="0.3">
      <c r="A397" s="12"/>
    </row>
    <row r="398" spans="1:1" x14ac:dyDescent="0.3">
      <c r="A398" s="12"/>
    </row>
    <row r="399" spans="1:1" x14ac:dyDescent="0.3">
      <c r="A399" s="12"/>
    </row>
    <row r="400" spans="1:1" x14ac:dyDescent="0.3">
      <c r="A400" s="12"/>
    </row>
    <row r="401" spans="1:1" x14ac:dyDescent="0.3">
      <c r="A401" s="12"/>
    </row>
    <row r="402" spans="1:1" x14ac:dyDescent="0.3">
      <c r="A402" s="12"/>
    </row>
    <row r="403" spans="1:1" x14ac:dyDescent="0.3">
      <c r="A403" s="12"/>
    </row>
    <row r="404" spans="1:1" x14ac:dyDescent="0.3">
      <c r="A404" s="12"/>
    </row>
    <row r="405" spans="1:1" x14ac:dyDescent="0.3">
      <c r="A405" s="12"/>
    </row>
    <row r="406" spans="1:1" x14ac:dyDescent="0.3">
      <c r="A406" s="12"/>
    </row>
    <row r="407" spans="1:1" x14ac:dyDescent="0.3">
      <c r="A407" s="12"/>
    </row>
    <row r="408" spans="1:1" x14ac:dyDescent="0.3">
      <c r="A408" s="12"/>
    </row>
    <row r="409" spans="1:1" x14ac:dyDescent="0.3">
      <c r="A409" s="12"/>
    </row>
    <row r="410" spans="1:1" x14ac:dyDescent="0.3">
      <c r="A410" s="12"/>
    </row>
    <row r="411" spans="1:1" x14ac:dyDescent="0.3">
      <c r="A411" s="12"/>
    </row>
    <row r="412" spans="1:1" x14ac:dyDescent="0.3">
      <c r="A412" s="12"/>
    </row>
    <row r="413" spans="1:1" x14ac:dyDescent="0.3">
      <c r="A413" s="12"/>
    </row>
    <row r="414" spans="1:1" x14ac:dyDescent="0.3">
      <c r="A414" s="12"/>
    </row>
    <row r="415" spans="1:1" x14ac:dyDescent="0.3">
      <c r="A415" s="12"/>
    </row>
    <row r="416" spans="1:1" x14ac:dyDescent="0.3">
      <c r="A416" s="12"/>
    </row>
    <row r="417" spans="1:1" x14ac:dyDescent="0.3">
      <c r="A417" s="12"/>
    </row>
    <row r="418" spans="1:1" x14ac:dyDescent="0.3">
      <c r="A418" s="12"/>
    </row>
    <row r="419" spans="1:1" x14ac:dyDescent="0.3">
      <c r="A419" s="12"/>
    </row>
    <row r="420" spans="1:1" x14ac:dyDescent="0.3">
      <c r="A420" s="12"/>
    </row>
    <row r="421" spans="1:1" x14ac:dyDescent="0.3">
      <c r="A421" s="12"/>
    </row>
    <row r="422" spans="1:1" x14ac:dyDescent="0.3">
      <c r="A422" s="12"/>
    </row>
    <row r="423" spans="1:1" x14ac:dyDescent="0.3">
      <c r="A423" s="12"/>
    </row>
    <row r="424" spans="1:1" x14ac:dyDescent="0.3">
      <c r="A424" s="12"/>
    </row>
    <row r="425" spans="1:1" x14ac:dyDescent="0.3">
      <c r="A425" s="12"/>
    </row>
    <row r="426" spans="1:1" x14ac:dyDescent="0.3">
      <c r="A426" s="12"/>
    </row>
    <row r="427" spans="1:1" x14ac:dyDescent="0.3">
      <c r="A427" s="12"/>
    </row>
    <row r="428" spans="1:1" x14ac:dyDescent="0.3">
      <c r="A428" s="12"/>
    </row>
    <row r="429" spans="1:1" x14ac:dyDescent="0.3">
      <c r="A429" s="12"/>
    </row>
    <row r="430" spans="1:1" x14ac:dyDescent="0.3">
      <c r="A430" s="12"/>
    </row>
    <row r="431" spans="1:1" x14ac:dyDescent="0.3">
      <c r="A431" s="12"/>
    </row>
    <row r="432" spans="1:1" x14ac:dyDescent="0.3">
      <c r="A432" s="12"/>
    </row>
    <row r="433" spans="1:1" x14ac:dyDescent="0.3">
      <c r="A433" s="12"/>
    </row>
    <row r="434" spans="1:1" x14ac:dyDescent="0.3">
      <c r="A434" s="12"/>
    </row>
    <row r="435" spans="1:1" x14ac:dyDescent="0.3">
      <c r="A435" s="12"/>
    </row>
    <row r="436" spans="1:1" x14ac:dyDescent="0.3">
      <c r="A436" s="12"/>
    </row>
    <row r="437" spans="1:1" x14ac:dyDescent="0.3">
      <c r="A437" s="12"/>
    </row>
    <row r="438" spans="1:1" x14ac:dyDescent="0.3">
      <c r="A438" s="12"/>
    </row>
    <row r="439" spans="1:1" x14ac:dyDescent="0.3">
      <c r="A439" s="12"/>
    </row>
    <row r="440" spans="1:1" x14ac:dyDescent="0.3">
      <c r="A440" s="12"/>
    </row>
    <row r="441" spans="1:1" x14ac:dyDescent="0.3">
      <c r="A441" s="12"/>
    </row>
    <row r="442" spans="1:1" x14ac:dyDescent="0.3">
      <c r="A442" s="12"/>
    </row>
    <row r="443" spans="1:1" x14ac:dyDescent="0.3">
      <c r="A443" s="12"/>
    </row>
    <row r="444" spans="1:1" x14ac:dyDescent="0.3">
      <c r="A444" s="12"/>
    </row>
    <row r="445" spans="1:1" x14ac:dyDescent="0.3">
      <c r="A445" s="12"/>
    </row>
    <row r="446" spans="1:1" x14ac:dyDescent="0.3">
      <c r="A446" s="12"/>
    </row>
    <row r="447" spans="1:1" x14ac:dyDescent="0.3">
      <c r="A447" s="12"/>
    </row>
    <row r="448" spans="1:1" x14ac:dyDescent="0.3">
      <c r="A448" s="12"/>
    </row>
    <row r="449" spans="1:1" x14ac:dyDescent="0.3">
      <c r="A449" s="12"/>
    </row>
    <row r="450" spans="1:1" x14ac:dyDescent="0.3">
      <c r="A450" s="12"/>
    </row>
    <row r="451" spans="1:1" x14ac:dyDescent="0.3">
      <c r="A451" s="12"/>
    </row>
    <row r="452" spans="1:1" x14ac:dyDescent="0.3">
      <c r="A452" s="12"/>
    </row>
    <row r="453" spans="1:1" x14ac:dyDescent="0.3">
      <c r="A453" s="12"/>
    </row>
    <row r="454" spans="1:1" x14ac:dyDescent="0.3">
      <c r="A454" s="12"/>
    </row>
    <row r="455" spans="1:1" x14ac:dyDescent="0.3">
      <c r="A455" s="12"/>
    </row>
    <row r="456" spans="1:1" x14ac:dyDescent="0.3">
      <c r="A456" s="12"/>
    </row>
    <row r="457" spans="1:1" x14ac:dyDescent="0.3">
      <c r="A457" s="12"/>
    </row>
    <row r="458" spans="1:1" x14ac:dyDescent="0.3">
      <c r="A458" s="12"/>
    </row>
    <row r="459" spans="1:1" x14ac:dyDescent="0.3">
      <c r="A459" s="12"/>
    </row>
    <row r="460" spans="1:1" x14ac:dyDescent="0.3">
      <c r="A460" s="12"/>
    </row>
    <row r="461" spans="1:1" x14ac:dyDescent="0.3">
      <c r="A461" s="12"/>
    </row>
    <row r="462" spans="1:1" x14ac:dyDescent="0.3">
      <c r="A462" s="12"/>
    </row>
    <row r="463" spans="1:1" x14ac:dyDescent="0.3">
      <c r="A463" s="12"/>
    </row>
    <row r="464" spans="1:1" x14ac:dyDescent="0.3">
      <c r="A464" s="12"/>
    </row>
    <row r="465" spans="1:1" x14ac:dyDescent="0.3">
      <c r="A465" s="12"/>
    </row>
    <row r="466" spans="1:1" x14ac:dyDescent="0.3">
      <c r="A466" s="12"/>
    </row>
    <row r="467" spans="1:1" x14ac:dyDescent="0.3">
      <c r="A467" s="12"/>
    </row>
    <row r="468" spans="1:1" x14ac:dyDescent="0.3">
      <c r="A468" s="12"/>
    </row>
    <row r="469" spans="1:1" x14ac:dyDescent="0.3">
      <c r="A469" s="12"/>
    </row>
    <row r="470" spans="1:1" x14ac:dyDescent="0.3">
      <c r="A470" s="12"/>
    </row>
    <row r="471" spans="1:1" x14ac:dyDescent="0.3">
      <c r="A471" s="12"/>
    </row>
    <row r="472" spans="1:1" x14ac:dyDescent="0.3">
      <c r="A472" s="12"/>
    </row>
    <row r="473" spans="1:1" x14ac:dyDescent="0.3">
      <c r="A473" s="12"/>
    </row>
    <row r="474" spans="1:1" x14ac:dyDescent="0.3">
      <c r="A474" s="12"/>
    </row>
    <row r="475" spans="1:1" x14ac:dyDescent="0.3">
      <c r="A475" s="12"/>
    </row>
    <row r="476" spans="1:1" x14ac:dyDescent="0.3">
      <c r="A476" s="12"/>
    </row>
    <row r="477" spans="1:1" x14ac:dyDescent="0.3">
      <c r="A477" s="12"/>
    </row>
    <row r="478" spans="1:1" x14ac:dyDescent="0.3">
      <c r="A478" s="12"/>
    </row>
    <row r="479" spans="1:1" x14ac:dyDescent="0.3">
      <c r="A479" s="12"/>
    </row>
    <row r="480" spans="1:1" x14ac:dyDescent="0.3">
      <c r="A480" s="12"/>
    </row>
    <row r="481" spans="1:1" x14ac:dyDescent="0.3">
      <c r="A481" s="12"/>
    </row>
    <row r="482" spans="1:1" x14ac:dyDescent="0.3">
      <c r="A482" s="12"/>
    </row>
    <row r="483" spans="1:1" x14ac:dyDescent="0.3">
      <c r="A483" s="12"/>
    </row>
    <row r="484" spans="1:1" x14ac:dyDescent="0.3">
      <c r="A484" s="12"/>
    </row>
    <row r="485" spans="1:1" x14ac:dyDescent="0.3">
      <c r="A485" s="12"/>
    </row>
    <row r="486" spans="1:1" x14ac:dyDescent="0.3">
      <c r="A486" s="12"/>
    </row>
    <row r="487" spans="1:1" x14ac:dyDescent="0.3">
      <c r="A487" s="12"/>
    </row>
    <row r="488" spans="1:1" x14ac:dyDescent="0.3">
      <c r="A488" s="12"/>
    </row>
    <row r="489" spans="1:1" x14ac:dyDescent="0.3">
      <c r="A489" s="12"/>
    </row>
    <row r="490" spans="1:1" x14ac:dyDescent="0.3">
      <c r="A490" s="12"/>
    </row>
    <row r="491" spans="1:1" x14ac:dyDescent="0.3">
      <c r="A491" s="12"/>
    </row>
    <row r="492" spans="1:1" x14ac:dyDescent="0.3">
      <c r="A492" s="12"/>
    </row>
    <row r="493" spans="1:1" x14ac:dyDescent="0.3">
      <c r="A493" s="12"/>
    </row>
    <row r="494" spans="1:1" x14ac:dyDescent="0.3">
      <c r="A494" s="12"/>
    </row>
    <row r="495" spans="1:1" x14ac:dyDescent="0.3">
      <c r="A495" s="12"/>
    </row>
    <row r="496" spans="1:1" x14ac:dyDescent="0.3">
      <c r="A496" s="12"/>
    </row>
    <row r="497" spans="1:1" x14ac:dyDescent="0.3">
      <c r="A497" s="12"/>
    </row>
    <row r="498" spans="1:1" x14ac:dyDescent="0.3">
      <c r="A498" s="12"/>
    </row>
    <row r="499" spans="1:1" x14ac:dyDescent="0.3">
      <c r="A499" s="12"/>
    </row>
    <row r="500" spans="1:1" x14ac:dyDescent="0.3">
      <c r="A500" s="12"/>
    </row>
    <row r="501" spans="1:1" x14ac:dyDescent="0.3">
      <c r="A501" s="12"/>
    </row>
    <row r="502" spans="1:1" x14ac:dyDescent="0.3">
      <c r="A502" s="12"/>
    </row>
    <row r="503" spans="1:1" x14ac:dyDescent="0.3">
      <c r="A503" s="12"/>
    </row>
    <row r="504" spans="1:1" x14ac:dyDescent="0.3">
      <c r="A504" s="12"/>
    </row>
    <row r="505" spans="1:1" x14ac:dyDescent="0.3">
      <c r="A505" s="12"/>
    </row>
    <row r="506" spans="1:1" x14ac:dyDescent="0.3">
      <c r="A506" s="12"/>
    </row>
    <row r="507" spans="1:1" x14ac:dyDescent="0.3">
      <c r="A507" s="12"/>
    </row>
    <row r="508" spans="1:1" x14ac:dyDescent="0.3">
      <c r="A508" s="12"/>
    </row>
    <row r="509" spans="1:1" x14ac:dyDescent="0.3">
      <c r="A509" s="12"/>
    </row>
    <row r="510" spans="1:1" x14ac:dyDescent="0.3">
      <c r="A510" s="12"/>
    </row>
    <row r="511" spans="1:1" x14ac:dyDescent="0.3">
      <c r="A511" s="12"/>
    </row>
    <row r="512" spans="1:1" x14ac:dyDescent="0.3">
      <c r="A512" s="12"/>
    </row>
    <row r="513" spans="1:1" x14ac:dyDescent="0.3">
      <c r="A513" s="12"/>
    </row>
    <row r="514" spans="1:1" x14ac:dyDescent="0.3">
      <c r="A514" s="12"/>
    </row>
    <row r="515" spans="1:1" x14ac:dyDescent="0.3">
      <c r="A515" s="12"/>
    </row>
    <row r="516" spans="1:1" x14ac:dyDescent="0.3">
      <c r="A516" s="12"/>
    </row>
    <row r="517" spans="1:1" x14ac:dyDescent="0.3">
      <c r="A517" s="12"/>
    </row>
    <row r="518" spans="1:1" x14ac:dyDescent="0.3">
      <c r="A518" s="12"/>
    </row>
    <row r="519" spans="1:1" x14ac:dyDescent="0.3">
      <c r="A519" s="12"/>
    </row>
    <row r="520" spans="1:1" x14ac:dyDescent="0.3">
      <c r="A520" s="12"/>
    </row>
    <row r="521" spans="1:1" x14ac:dyDescent="0.3">
      <c r="A521" s="12"/>
    </row>
    <row r="522" spans="1:1" x14ac:dyDescent="0.3">
      <c r="A522" s="12"/>
    </row>
    <row r="523" spans="1:1" x14ac:dyDescent="0.3">
      <c r="A523" s="12"/>
    </row>
    <row r="524" spans="1:1" x14ac:dyDescent="0.3">
      <c r="A524" s="12"/>
    </row>
    <row r="525" spans="1:1" x14ac:dyDescent="0.3">
      <c r="A525" s="12"/>
    </row>
    <row r="526" spans="1:1" x14ac:dyDescent="0.3">
      <c r="A526" s="12"/>
    </row>
    <row r="527" spans="1:1" x14ac:dyDescent="0.3">
      <c r="A527" s="12"/>
    </row>
    <row r="528" spans="1:1" x14ac:dyDescent="0.3">
      <c r="A528" s="12"/>
    </row>
    <row r="529" spans="1:1" x14ac:dyDescent="0.3">
      <c r="A529" s="12"/>
    </row>
    <row r="530" spans="1:1" x14ac:dyDescent="0.3">
      <c r="A530" s="12"/>
    </row>
    <row r="531" spans="1:1" x14ac:dyDescent="0.3">
      <c r="A531" s="12"/>
    </row>
    <row r="532" spans="1:1" x14ac:dyDescent="0.3">
      <c r="A532" s="12"/>
    </row>
    <row r="533" spans="1:1" x14ac:dyDescent="0.3">
      <c r="A533" s="12"/>
    </row>
    <row r="534" spans="1:1" x14ac:dyDescent="0.3">
      <c r="A534" s="12"/>
    </row>
    <row r="535" spans="1:1" x14ac:dyDescent="0.3">
      <c r="A535" s="12"/>
    </row>
    <row r="536" spans="1:1" x14ac:dyDescent="0.3">
      <c r="A536" s="12"/>
    </row>
    <row r="537" spans="1:1" x14ac:dyDescent="0.3">
      <c r="A537" s="12"/>
    </row>
    <row r="538" spans="1:1" x14ac:dyDescent="0.3">
      <c r="A538" s="12"/>
    </row>
    <row r="539" spans="1:1" x14ac:dyDescent="0.3">
      <c r="A539" s="12"/>
    </row>
    <row r="540" spans="1:1" x14ac:dyDescent="0.3">
      <c r="A540" s="12"/>
    </row>
    <row r="541" spans="1:1" x14ac:dyDescent="0.3">
      <c r="A541" s="12"/>
    </row>
    <row r="542" spans="1:1" x14ac:dyDescent="0.3">
      <c r="A542" s="12"/>
    </row>
    <row r="543" spans="1:1" x14ac:dyDescent="0.3">
      <c r="A543" s="12"/>
    </row>
    <row r="544" spans="1:1" x14ac:dyDescent="0.3">
      <c r="A544" s="12"/>
    </row>
    <row r="545" spans="1:1" x14ac:dyDescent="0.3">
      <c r="A545" s="12"/>
    </row>
    <row r="546" spans="1:1" x14ac:dyDescent="0.3">
      <c r="A546" s="12"/>
    </row>
    <row r="547" spans="1:1" x14ac:dyDescent="0.3">
      <c r="A547" s="12"/>
    </row>
    <row r="548" spans="1:1" x14ac:dyDescent="0.3">
      <c r="A548" s="12"/>
    </row>
    <row r="549" spans="1:1" x14ac:dyDescent="0.3">
      <c r="A549" s="12"/>
    </row>
    <row r="550" spans="1:1" x14ac:dyDescent="0.3">
      <c r="A550" s="12"/>
    </row>
    <row r="551" spans="1:1" x14ac:dyDescent="0.3">
      <c r="A551" s="12"/>
    </row>
    <row r="552" spans="1:1" x14ac:dyDescent="0.3">
      <c r="A552" s="12"/>
    </row>
    <row r="553" spans="1:1" x14ac:dyDescent="0.3">
      <c r="A553" s="12"/>
    </row>
    <row r="554" spans="1:1" x14ac:dyDescent="0.3">
      <c r="A554" s="12"/>
    </row>
    <row r="555" spans="1:1" x14ac:dyDescent="0.3">
      <c r="A555" s="12"/>
    </row>
    <row r="556" spans="1:1" x14ac:dyDescent="0.3">
      <c r="A556" s="12"/>
    </row>
    <row r="557" spans="1:1" x14ac:dyDescent="0.3">
      <c r="A557" s="12"/>
    </row>
    <row r="558" spans="1:1" x14ac:dyDescent="0.3">
      <c r="A558" s="12"/>
    </row>
    <row r="559" spans="1:1" x14ac:dyDescent="0.3">
      <c r="A559" s="12"/>
    </row>
    <row r="560" spans="1:1" x14ac:dyDescent="0.3">
      <c r="A560" s="12"/>
    </row>
    <row r="561" spans="1:1" x14ac:dyDescent="0.3">
      <c r="A561" s="12"/>
    </row>
    <row r="562" spans="1:1" x14ac:dyDescent="0.3">
      <c r="A562" s="12"/>
    </row>
    <row r="563" spans="1:1" x14ac:dyDescent="0.3">
      <c r="A563" s="12"/>
    </row>
    <row r="564" spans="1:1" x14ac:dyDescent="0.3">
      <c r="A564" s="12"/>
    </row>
    <row r="565" spans="1:1" x14ac:dyDescent="0.3">
      <c r="A565" s="12"/>
    </row>
    <row r="566" spans="1:1" x14ac:dyDescent="0.3">
      <c r="A566" s="12"/>
    </row>
    <row r="567" spans="1:1" x14ac:dyDescent="0.3">
      <c r="A567" s="12"/>
    </row>
    <row r="568" spans="1:1" x14ac:dyDescent="0.3">
      <c r="A568" s="12"/>
    </row>
    <row r="569" spans="1:1" x14ac:dyDescent="0.3">
      <c r="A569" s="12"/>
    </row>
    <row r="570" spans="1:1" x14ac:dyDescent="0.3">
      <c r="A570" s="12"/>
    </row>
    <row r="571" spans="1:1" x14ac:dyDescent="0.3">
      <c r="A571" s="12"/>
    </row>
    <row r="572" spans="1:1" x14ac:dyDescent="0.3">
      <c r="A572" s="12"/>
    </row>
    <row r="573" spans="1:1" x14ac:dyDescent="0.3">
      <c r="A573" s="12"/>
    </row>
    <row r="574" spans="1:1" x14ac:dyDescent="0.3">
      <c r="A574" s="12"/>
    </row>
    <row r="575" spans="1:1" x14ac:dyDescent="0.3">
      <c r="A575" s="12"/>
    </row>
    <row r="576" spans="1:1" x14ac:dyDescent="0.3">
      <c r="A576" s="12"/>
    </row>
    <row r="577" spans="1:1" x14ac:dyDescent="0.3">
      <c r="A577" s="12"/>
    </row>
    <row r="578" spans="1:1" x14ac:dyDescent="0.3">
      <c r="A578" s="12"/>
    </row>
    <row r="579" spans="1:1" x14ac:dyDescent="0.3">
      <c r="A579" s="12"/>
    </row>
    <row r="580" spans="1:1" x14ac:dyDescent="0.3">
      <c r="A580" s="12"/>
    </row>
    <row r="581" spans="1:1" x14ac:dyDescent="0.3">
      <c r="A581" s="12"/>
    </row>
    <row r="582" spans="1:1" x14ac:dyDescent="0.3">
      <c r="A582" s="12"/>
    </row>
    <row r="583" spans="1:1" x14ac:dyDescent="0.3">
      <c r="A583" s="12"/>
    </row>
    <row r="584" spans="1:1" x14ac:dyDescent="0.3">
      <c r="A584" s="12"/>
    </row>
    <row r="585" spans="1:1" x14ac:dyDescent="0.3">
      <c r="A585" s="12"/>
    </row>
    <row r="586" spans="1:1" x14ac:dyDescent="0.3">
      <c r="A586" s="12"/>
    </row>
    <row r="587" spans="1:1" x14ac:dyDescent="0.3">
      <c r="A587" s="12"/>
    </row>
    <row r="588" spans="1:1" x14ac:dyDescent="0.3">
      <c r="A588" s="12"/>
    </row>
    <row r="589" spans="1:1" x14ac:dyDescent="0.3">
      <c r="A589" s="12"/>
    </row>
    <row r="590" spans="1:1" x14ac:dyDescent="0.3">
      <c r="A590" s="12"/>
    </row>
    <row r="591" spans="1:1" x14ac:dyDescent="0.3">
      <c r="A591" s="12"/>
    </row>
    <row r="592" spans="1:1" x14ac:dyDescent="0.3">
      <c r="A592" s="12"/>
    </row>
    <row r="593" spans="1:1" x14ac:dyDescent="0.3">
      <c r="A593" s="12"/>
    </row>
    <row r="594" spans="1:1" x14ac:dyDescent="0.3">
      <c r="A594" s="12"/>
    </row>
    <row r="595" spans="1:1" x14ac:dyDescent="0.3">
      <c r="A595" s="12"/>
    </row>
    <row r="596" spans="1:1" x14ac:dyDescent="0.3">
      <c r="A596" s="12"/>
    </row>
    <row r="597" spans="1:1" x14ac:dyDescent="0.3">
      <c r="A597" s="12"/>
    </row>
    <row r="598" spans="1:1" x14ac:dyDescent="0.3">
      <c r="A598" s="12"/>
    </row>
    <row r="599" spans="1:1" x14ac:dyDescent="0.3">
      <c r="A599" s="12"/>
    </row>
    <row r="600" spans="1:1" x14ac:dyDescent="0.3">
      <c r="A600" s="12"/>
    </row>
    <row r="601" spans="1:1" x14ac:dyDescent="0.3">
      <c r="A601" s="12"/>
    </row>
    <row r="602" spans="1:1" x14ac:dyDescent="0.3">
      <c r="A602" s="12"/>
    </row>
    <row r="603" spans="1:1" x14ac:dyDescent="0.3">
      <c r="A603" s="12"/>
    </row>
    <row r="604" spans="1:1" x14ac:dyDescent="0.3">
      <c r="A604" s="12"/>
    </row>
    <row r="605" spans="1:1" x14ac:dyDescent="0.3">
      <c r="A605" s="12"/>
    </row>
    <row r="606" spans="1:1" x14ac:dyDescent="0.3">
      <c r="A606" s="12"/>
    </row>
    <row r="607" spans="1:1" x14ac:dyDescent="0.3">
      <c r="A607" s="12"/>
    </row>
    <row r="608" spans="1:1" x14ac:dyDescent="0.3">
      <c r="A608" s="12"/>
    </row>
    <row r="609" spans="1:1" x14ac:dyDescent="0.3">
      <c r="A609" s="12"/>
    </row>
    <row r="610" spans="1:1" x14ac:dyDescent="0.3">
      <c r="A610" s="12"/>
    </row>
    <row r="611" spans="1:1" x14ac:dyDescent="0.3">
      <c r="A611" s="12"/>
    </row>
    <row r="612" spans="1:1" x14ac:dyDescent="0.3">
      <c r="A612" s="12"/>
    </row>
    <row r="613" spans="1:1" x14ac:dyDescent="0.3">
      <c r="A613" s="12"/>
    </row>
    <row r="614" spans="1:1" x14ac:dyDescent="0.3">
      <c r="A614" s="12"/>
    </row>
    <row r="615" spans="1:1" x14ac:dyDescent="0.3">
      <c r="A615" s="12"/>
    </row>
    <row r="616" spans="1:1" x14ac:dyDescent="0.3">
      <c r="A616" s="12"/>
    </row>
    <row r="617" spans="1:1" x14ac:dyDescent="0.3">
      <c r="A617" s="12"/>
    </row>
    <row r="618" spans="1:1" x14ac:dyDescent="0.3">
      <c r="A618" s="12"/>
    </row>
    <row r="619" spans="1:1" x14ac:dyDescent="0.3">
      <c r="A619" s="12"/>
    </row>
    <row r="620" spans="1:1" x14ac:dyDescent="0.3">
      <c r="A620" s="12"/>
    </row>
    <row r="621" spans="1:1" x14ac:dyDescent="0.3">
      <c r="A621" s="12"/>
    </row>
    <row r="622" spans="1:1" x14ac:dyDescent="0.3">
      <c r="A622" s="12"/>
    </row>
    <row r="623" spans="1:1" x14ac:dyDescent="0.3">
      <c r="A623" s="12"/>
    </row>
    <row r="624" spans="1:1" x14ac:dyDescent="0.3">
      <c r="A624" s="12"/>
    </row>
    <row r="625" spans="1:1" x14ac:dyDescent="0.3">
      <c r="A625" s="12"/>
    </row>
    <row r="626" spans="1:1" x14ac:dyDescent="0.3">
      <c r="A626" s="12"/>
    </row>
    <row r="627" spans="1:1" x14ac:dyDescent="0.3">
      <c r="A627" s="12"/>
    </row>
    <row r="628" spans="1:1" x14ac:dyDescent="0.3">
      <c r="A628" s="12"/>
    </row>
    <row r="629" spans="1:1" x14ac:dyDescent="0.3">
      <c r="A629" s="12"/>
    </row>
    <row r="630" spans="1:1" x14ac:dyDescent="0.3">
      <c r="A630" s="12"/>
    </row>
    <row r="631" spans="1:1" x14ac:dyDescent="0.3">
      <c r="A631" s="12"/>
    </row>
    <row r="632" spans="1:1" x14ac:dyDescent="0.3">
      <c r="A632" s="12"/>
    </row>
    <row r="633" spans="1:1" x14ac:dyDescent="0.3">
      <c r="A633" s="12"/>
    </row>
    <row r="634" spans="1:1" x14ac:dyDescent="0.3">
      <c r="A634" s="12"/>
    </row>
    <row r="635" spans="1:1" x14ac:dyDescent="0.3">
      <c r="A635" s="12"/>
    </row>
    <row r="636" spans="1:1" x14ac:dyDescent="0.3">
      <c r="A636" s="12"/>
    </row>
    <row r="637" spans="1:1" x14ac:dyDescent="0.3">
      <c r="A637" s="12"/>
    </row>
    <row r="638" spans="1:1" x14ac:dyDescent="0.3">
      <c r="A638" s="12"/>
    </row>
    <row r="639" spans="1:1" x14ac:dyDescent="0.3">
      <c r="A639" s="12"/>
    </row>
    <row r="640" spans="1:1" x14ac:dyDescent="0.3">
      <c r="A640" s="12"/>
    </row>
    <row r="641" spans="1:1" x14ac:dyDescent="0.3">
      <c r="A641" s="12"/>
    </row>
    <row r="642" spans="1:1" x14ac:dyDescent="0.3">
      <c r="A642" s="12"/>
    </row>
    <row r="643" spans="1:1" x14ac:dyDescent="0.3">
      <c r="A643" s="12"/>
    </row>
    <row r="644" spans="1:1" x14ac:dyDescent="0.3">
      <c r="A644" s="12"/>
    </row>
    <row r="645" spans="1:1" x14ac:dyDescent="0.3">
      <c r="A645" s="12"/>
    </row>
    <row r="646" spans="1:1" x14ac:dyDescent="0.3">
      <c r="A646" s="12"/>
    </row>
    <row r="647" spans="1:1" x14ac:dyDescent="0.3">
      <c r="A647" s="12"/>
    </row>
    <row r="648" spans="1:1" x14ac:dyDescent="0.3">
      <c r="A648" s="12"/>
    </row>
    <row r="649" spans="1:1" x14ac:dyDescent="0.3">
      <c r="A649" s="12"/>
    </row>
    <row r="650" spans="1:1" x14ac:dyDescent="0.3">
      <c r="A650" s="12"/>
    </row>
    <row r="651" spans="1:1" x14ac:dyDescent="0.3">
      <c r="A651" s="12"/>
    </row>
    <row r="652" spans="1:1" x14ac:dyDescent="0.3">
      <c r="A652" s="12"/>
    </row>
    <row r="653" spans="1:1" x14ac:dyDescent="0.3">
      <c r="A653" s="12"/>
    </row>
    <row r="654" spans="1:1" x14ac:dyDescent="0.3">
      <c r="A654" s="12"/>
    </row>
    <row r="655" spans="1:1" x14ac:dyDescent="0.3">
      <c r="A655" s="12"/>
    </row>
    <row r="656" spans="1:1" x14ac:dyDescent="0.3">
      <c r="A656" s="12"/>
    </row>
    <row r="657" spans="1:1" x14ac:dyDescent="0.3">
      <c r="A657" s="12"/>
    </row>
    <row r="658" spans="1:1" x14ac:dyDescent="0.3">
      <c r="A658" s="12"/>
    </row>
    <row r="659" spans="1:1" x14ac:dyDescent="0.3">
      <c r="A659" s="12"/>
    </row>
    <row r="660" spans="1:1" x14ac:dyDescent="0.3">
      <c r="A660" s="12"/>
    </row>
    <row r="661" spans="1:1" x14ac:dyDescent="0.3">
      <c r="A661" s="12"/>
    </row>
    <row r="662" spans="1:1" x14ac:dyDescent="0.3">
      <c r="A662" s="12"/>
    </row>
    <row r="663" spans="1:1" x14ac:dyDescent="0.3">
      <c r="A663" s="12"/>
    </row>
    <row r="664" spans="1:1" x14ac:dyDescent="0.3">
      <c r="A664" s="12"/>
    </row>
    <row r="665" spans="1:1" x14ac:dyDescent="0.3">
      <c r="A665" s="12"/>
    </row>
    <row r="666" spans="1:1" x14ac:dyDescent="0.3">
      <c r="A666" s="12"/>
    </row>
    <row r="667" spans="1:1" x14ac:dyDescent="0.3">
      <c r="A667" s="12"/>
    </row>
    <row r="668" spans="1:1" x14ac:dyDescent="0.3">
      <c r="A668" s="12"/>
    </row>
    <row r="669" spans="1:1" x14ac:dyDescent="0.3">
      <c r="A669" s="12"/>
    </row>
    <row r="670" spans="1:1" x14ac:dyDescent="0.3">
      <c r="A670" s="12"/>
    </row>
    <row r="671" spans="1:1" x14ac:dyDescent="0.3">
      <c r="A671" s="12"/>
    </row>
    <row r="672" spans="1:1" x14ac:dyDescent="0.3">
      <c r="A672" s="12"/>
    </row>
    <row r="673" spans="1:1" x14ac:dyDescent="0.3">
      <c r="A673" s="12"/>
    </row>
    <row r="674" spans="1:1" x14ac:dyDescent="0.3">
      <c r="A674" s="12"/>
    </row>
    <row r="675" spans="1:1" x14ac:dyDescent="0.3">
      <c r="A675" s="12"/>
    </row>
    <row r="676" spans="1:1" x14ac:dyDescent="0.3">
      <c r="A676" s="12"/>
    </row>
    <row r="677" spans="1:1" x14ac:dyDescent="0.3">
      <c r="A677" s="12"/>
    </row>
    <row r="678" spans="1:1" x14ac:dyDescent="0.3">
      <c r="A678" s="12"/>
    </row>
    <row r="679" spans="1:1" x14ac:dyDescent="0.3">
      <c r="A679" s="12"/>
    </row>
    <row r="680" spans="1:1" x14ac:dyDescent="0.3">
      <c r="A680" s="12"/>
    </row>
    <row r="681" spans="1:1" x14ac:dyDescent="0.3">
      <c r="A681" s="12"/>
    </row>
    <row r="682" spans="1:1" x14ac:dyDescent="0.3">
      <c r="A682" s="12"/>
    </row>
    <row r="683" spans="1:1" x14ac:dyDescent="0.3">
      <c r="A683" s="12"/>
    </row>
    <row r="684" spans="1:1" x14ac:dyDescent="0.3">
      <c r="A684" s="12"/>
    </row>
    <row r="685" spans="1:1" x14ac:dyDescent="0.3">
      <c r="A685" s="12"/>
    </row>
    <row r="686" spans="1:1" x14ac:dyDescent="0.3">
      <c r="A686" s="12"/>
    </row>
    <row r="687" spans="1:1" x14ac:dyDescent="0.3">
      <c r="A687" s="12"/>
    </row>
    <row r="688" spans="1:1" x14ac:dyDescent="0.3">
      <c r="A688" s="12"/>
    </row>
    <row r="689" spans="1:1" x14ac:dyDescent="0.3">
      <c r="A689" s="12"/>
    </row>
    <row r="690" spans="1:1" x14ac:dyDescent="0.3">
      <c r="A690" s="12"/>
    </row>
    <row r="691" spans="1:1" x14ac:dyDescent="0.3">
      <c r="A691" s="12"/>
    </row>
    <row r="692" spans="1:1" x14ac:dyDescent="0.3">
      <c r="A692" s="12"/>
    </row>
    <row r="693" spans="1:1" x14ac:dyDescent="0.3">
      <c r="A693" s="12"/>
    </row>
    <row r="694" spans="1:1" x14ac:dyDescent="0.3">
      <c r="A694" s="12"/>
    </row>
    <row r="695" spans="1:1" x14ac:dyDescent="0.3">
      <c r="A695" s="12"/>
    </row>
    <row r="696" spans="1:1" x14ac:dyDescent="0.3">
      <c r="A696" s="12"/>
    </row>
    <row r="697" spans="1:1" x14ac:dyDescent="0.3">
      <c r="A697" s="12"/>
    </row>
    <row r="698" spans="1:1" x14ac:dyDescent="0.3">
      <c r="A698" s="12"/>
    </row>
    <row r="699" spans="1:1" x14ac:dyDescent="0.3">
      <c r="A699" s="12"/>
    </row>
    <row r="700" spans="1:1" x14ac:dyDescent="0.3">
      <c r="A700" s="12"/>
    </row>
    <row r="701" spans="1:1" x14ac:dyDescent="0.3">
      <c r="A701" s="12"/>
    </row>
    <row r="702" spans="1:1" x14ac:dyDescent="0.3">
      <c r="A702" s="12"/>
    </row>
    <row r="703" spans="1:1" x14ac:dyDescent="0.3">
      <c r="A703" s="12"/>
    </row>
    <row r="704" spans="1:1" x14ac:dyDescent="0.3">
      <c r="A704" s="12"/>
    </row>
    <row r="705" spans="1:1" x14ac:dyDescent="0.3">
      <c r="A705" s="12"/>
    </row>
    <row r="706" spans="1:1" x14ac:dyDescent="0.3">
      <c r="A706" s="12"/>
    </row>
    <row r="707" spans="1:1" x14ac:dyDescent="0.3">
      <c r="A707" s="12"/>
    </row>
    <row r="708" spans="1:1" x14ac:dyDescent="0.3">
      <c r="A708" s="12"/>
    </row>
    <row r="709" spans="1:1" x14ac:dyDescent="0.3">
      <c r="A709" s="12"/>
    </row>
    <row r="710" spans="1:1" x14ac:dyDescent="0.3">
      <c r="A710" s="12"/>
    </row>
    <row r="711" spans="1:1" x14ac:dyDescent="0.3">
      <c r="A711" s="12"/>
    </row>
    <row r="712" spans="1:1" x14ac:dyDescent="0.3">
      <c r="A712" s="12"/>
    </row>
    <row r="713" spans="1:1" x14ac:dyDescent="0.3">
      <c r="A713" s="12"/>
    </row>
    <row r="714" spans="1:1" x14ac:dyDescent="0.3">
      <c r="A714" s="12"/>
    </row>
    <row r="715" spans="1:1" x14ac:dyDescent="0.3">
      <c r="A715" s="12"/>
    </row>
    <row r="716" spans="1:1" x14ac:dyDescent="0.3">
      <c r="A716" s="12"/>
    </row>
    <row r="717" spans="1:1" x14ac:dyDescent="0.3">
      <c r="A717" s="12"/>
    </row>
    <row r="718" spans="1:1" x14ac:dyDescent="0.3">
      <c r="A718" s="12"/>
    </row>
    <row r="719" spans="1:1" x14ac:dyDescent="0.3">
      <c r="A719" s="12"/>
    </row>
    <row r="720" spans="1:1" x14ac:dyDescent="0.3">
      <c r="A720" s="12"/>
    </row>
    <row r="721" spans="1:1" x14ac:dyDescent="0.3">
      <c r="A721" s="12"/>
    </row>
    <row r="722" spans="1:1" x14ac:dyDescent="0.3">
      <c r="A722" s="12"/>
    </row>
    <row r="723" spans="1:1" x14ac:dyDescent="0.3">
      <c r="A723" s="12"/>
    </row>
    <row r="724" spans="1:1" x14ac:dyDescent="0.3">
      <c r="A724" s="12"/>
    </row>
    <row r="725" spans="1:1" x14ac:dyDescent="0.3">
      <c r="A725" s="12"/>
    </row>
    <row r="726" spans="1:1" x14ac:dyDescent="0.3">
      <c r="A726" s="12"/>
    </row>
    <row r="727" spans="1:1" x14ac:dyDescent="0.3">
      <c r="A727" s="12"/>
    </row>
    <row r="728" spans="1:1" x14ac:dyDescent="0.3">
      <c r="A728" s="12"/>
    </row>
    <row r="729" spans="1:1" x14ac:dyDescent="0.3">
      <c r="A729" s="12"/>
    </row>
    <row r="730" spans="1:1" x14ac:dyDescent="0.3">
      <c r="A730" s="12"/>
    </row>
    <row r="731" spans="1:1" x14ac:dyDescent="0.3">
      <c r="A731" s="12"/>
    </row>
    <row r="732" spans="1:1" x14ac:dyDescent="0.3">
      <c r="A732" s="12"/>
    </row>
    <row r="733" spans="1:1" x14ac:dyDescent="0.3">
      <c r="A733" s="12"/>
    </row>
    <row r="734" spans="1:1" x14ac:dyDescent="0.3">
      <c r="A734" s="12"/>
    </row>
    <row r="735" spans="1:1" x14ac:dyDescent="0.3">
      <c r="A735" s="12"/>
    </row>
    <row r="736" spans="1:1" x14ac:dyDescent="0.3">
      <c r="A736" s="12"/>
    </row>
    <row r="737" spans="1:1" x14ac:dyDescent="0.3">
      <c r="A737" s="12"/>
    </row>
    <row r="738" spans="1:1" x14ac:dyDescent="0.3">
      <c r="A738" s="12"/>
    </row>
    <row r="739" spans="1:1" x14ac:dyDescent="0.3">
      <c r="A739" s="12"/>
    </row>
    <row r="740" spans="1:1" x14ac:dyDescent="0.3">
      <c r="A740" s="12"/>
    </row>
    <row r="741" spans="1:1" x14ac:dyDescent="0.3">
      <c r="A741" s="12"/>
    </row>
    <row r="742" spans="1:1" x14ac:dyDescent="0.3">
      <c r="A742" s="12"/>
    </row>
    <row r="743" spans="1:1" x14ac:dyDescent="0.3">
      <c r="A743" s="12"/>
    </row>
    <row r="744" spans="1:1" x14ac:dyDescent="0.3">
      <c r="A744" s="12"/>
    </row>
    <row r="745" spans="1:1" x14ac:dyDescent="0.3">
      <c r="A745" s="12"/>
    </row>
    <row r="746" spans="1:1" x14ac:dyDescent="0.3">
      <c r="A746" s="12"/>
    </row>
    <row r="747" spans="1:1" x14ac:dyDescent="0.3">
      <c r="A747" s="12"/>
    </row>
    <row r="748" spans="1:1" x14ac:dyDescent="0.3">
      <c r="A748" s="12"/>
    </row>
    <row r="749" spans="1:1" x14ac:dyDescent="0.3">
      <c r="A749" s="12"/>
    </row>
    <row r="750" spans="1:1" x14ac:dyDescent="0.3">
      <c r="A750" s="12"/>
    </row>
    <row r="751" spans="1:1" x14ac:dyDescent="0.3">
      <c r="A751" s="12"/>
    </row>
    <row r="752" spans="1:1" x14ac:dyDescent="0.3">
      <c r="A752" s="12"/>
    </row>
    <row r="753" spans="1:1" x14ac:dyDescent="0.3">
      <c r="A753" s="12"/>
    </row>
    <row r="754" spans="1:1" x14ac:dyDescent="0.3">
      <c r="A754" s="12"/>
    </row>
    <row r="755" spans="1:1" x14ac:dyDescent="0.3">
      <c r="A755" s="12"/>
    </row>
    <row r="756" spans="1:1" x14ac:dyDescent="0.3">
      <c r="A756" s="12"/>
    </row>
    <row r="757" spans="1:1" x14ac:dyDescent="0.3">
      <c r="A757" s="12"/>
    </row>
    <row r="758" spans="1:1" x14ac:dyDescent="0.3">
      <c r="A758" s="12"/>
    </row>
    <row r="759" spans="1:1" x14ac:dyDescent="0.3">
      <c r="A759" s="12"/>
    </row>
    <row r="760" spans="1:1" x14ac:dyDescent="0.3">
      <c r="A760" s="12"/>
    </row>
    <row r="761" spans="1:1" x14ac:dyDescent="0.3">
      <c r="A761" s="12"/>
    </row>
    <row r="762" spans="1:1" x14ac:dyDescent="0.3">
      <c r="A762" s="12"/>
    </row>
    <row r="763" spans="1:1" x14ac:dyDescent="0.3">
      <c r="A763" s="12"/>
    </row>
    <row r="764" spans="1:1" x14ac:dyDescent="0.3">
      <c r="A764" s="12"/>
    </row>
    <row r="765" spans="1:1" x14ac:dyDescent="0.3">
      <c r="A765" s="12"/>
    </row>
    <row r="766" spans="1:1" x14ac:dyDescent="0.3">
      <c r="A766" s="12"/>
    </row>
    <row r="767" spans="1:1" x14ac:dyDescent="0.3">
      <c r="A767" s="12"/>
    </row>
    <row r="768" spans="1:1" x14ac:dyDescent="0.3">
      <c r="A768" s="12"/>
    </row>
    <row r="769" spans="1:1" x14ac:dyDescent="0.3">
      <c r="A769" s="12"/>
    </row>
    <row r="770" spans="1:1" x14ac:dyDescent="0.3">
      <c r="A770" s="12"/>
    </row>
    <row r="771" spans="1:1" x14ac:dyDescent="0.3">
      <c r="A771" s="12"/>
    </row>
    <row r="772" spans="1:1" x14ac:dyDescent="0.3">
      <c r="A772" s="12"/>
    </row>
    <row r="773" spans="1:1" x14ac:dyDescent="0.3">
      <c r="A773" s="12"/>
    </row>
    <row r="774" spans="1:1" x14ac:dyDescent="0.3">
      <c r="A774" s="12"/>
    </row>
    <row r="775" spans="1:1" x14ac:dyDescent="0.3">
      <c r="A775" s="12"/>
    </row>
    <row r="776" spans="1:1" x14ac:dyDescent="0.3">
      <c r="A776" s="12"/>
    </row>
    <row r="777" spans="1:1" x14ac:dyDescent="0.3">
      <c r="A777" s="12"/>
    </row>
    <row r="778" spans="1:1" x14ac:dyDescent="0.3">
      <c r="A778" s="12"/>
    </row>
    <row r="779" spans="1:1" x14ac:dyDescent="0.3">
      <c r="A779" s="12"/>
    </row>
    <row r="780" spans="1:1" x14ac:dyDescent="0.3">
      <c r="A780" s="12"/>
    </row>
    <row r="781" spans="1:1" x14ac:dyDescent="0.3">
      <c r="A781" s="12"/>
    </row>
    <row r="782" spans="1:1" x14ac:dyDescent="0.3">
      <c r="A782" s="12"/>
    </row>
    <row r="783" spans="1:1" x14ac:dyDescent="0.3">
      <c r="A783" s="12"/>
    </row>
    <row r="784" spans="1:1" x14ac:dyDescent="0.3">
      <c r="A784" s="12"/>
    </row>
    <row r="785" spans="1:1" x14ac:dyDescent="0.3">
      <c r="A785" s="12"/>
    </row>
    <row r="786" spans="1:1" x14ac:dyDescent="0.3">
      <c r="A786" s="12"/>
    </row>
    <row r="787" spans="1:1" x14ac:dyDescent="0.3">
      <c r="A787" s="12"/>
    </row>
    <row r="788" spans="1:1" x14ac:dyDescent="0.3">
      <c r="A788" s="12"/>
    </row>
    <row r="789" spans="1:1" x14ac:dyDescent="0.3">
      <c r="A789" s="12"/>
    </row>
    <row r="790" spans="1:1" x14ac:dyDescent="0.3">
      <c r="A790" s="12"/>
    </row>
    <row r="791" spans="1:1" x14ac:dyDescent="0.3">
      <c r="A791" s="12"/>
    </row>
    <row r="792" spans="1:1" x14ac:dyDescent="0.3">
      <c r="A792" s="12"/>
    </row>
    <row r="793" spans="1:1" x14ac:dyDescent="0.3">
      <c r="A793" s="12"/>
    </row>
    <row r="794" spans="1:1" x14ac:dyDescent="0.3">
      <c r="A794" s="12"/>
    </row>
    <row r="795" spans="1:1" x14ac:dyDescent="0.3">
      <c r="A795" s="12"/>
    </row>
    <row r="796" spans="1:1" x14ac:dyDescent="0.3">
      <c r="A796" s="12"/>
    </row>
    <row r="797" spans="1:1" x14ac:dyDescent="0.3">
      <c r="A797" s="12"/>
    </row>
    <row r="798" spans="1:1" x14ac:dyDescent="0.3">
      <c r="A798" s="12"/>
    </row>
    <row r="799" spans="1:1" x14ac:dyDescent="0.3">
      <c r="A799" s="12"/>
    </row>
    <row r="800" spans="1:1" x14ac:dyDescent="0.3">
      <c r="A800" s="12"/>
    </row>
    <row r="801" spans="1:1" x14ac:dyDescent="0.3">
      <c r="A801" s="12"/>
    </row>
    <row r="802" spans="1:1" x14ac:dyDescent="0.3">
      <c r="A802" s="12"/>
    </row>
    <row r="803" spans="1:1" x14ac:dyDescent="0.3">
      <c r="A803" s="12"/>
    </row>
    <row r="804" spans="1:1" x14ac:dyDescent="0.3">
      <c r="A804" s="12"/>
    </row>
    <row r="805" spans="1:1" x14ac:dyDescent="0.3">
      <c r="A805" s="12"/>
    </row>
    <row r="806" spans="1:1" x14ac:dyDescent="0.3">
      <c r="A806" s="12"/>
    </row>
    <row r="807" spans="1:1" x14ac:dyDescent="0.3">
      <c r="A807" s="12"/>
    </row>
    <row r="808" spans="1:1" x14ac:dyDescent="0.3">
      <c r="A808" s="12"/>
    </row>
    <row r="809" spans="1:1" x14ac:dyDescent="0.3">
      <c r="A809" s="12"/>
    </row>
    <row r="810" spans="1:1" x14ac:dyDescent="0.3">
      <c r="A810" s="12"/>
    </row>
    <row r="811" spans="1:1" x14ac:dyDescent="0.3">
      <c r="A811" s="12"/>
    </row>
    <row r="812" spans="1:1" x14ac:dyDescent="0.3">
      <c r="A812" s="12"/>
    </row>
    <row r="813" spans="1:1" x14ac:dyDescent="0.3">
      <c r="A813" s="12"/>
    </row>
    <row r="814" spans="1:1" x14ac:dyDescent="0.3">
      <c r="A814" s="12"/>
    </row>
    <row r="815" spans="1:1" x14ac:dyDescent="0.3">
      <c r="A815" s="12"/>
    </row>
    <row r="816" spans="1:1" x14ac:dyDescent="0.3">
      <c r="A816" s="12"/>
    </row>
    <row r="817" spans="1:1" x14ac:dyDescent="0.3">
      <c r="A817" s="12"/>
    </row>
    <row r="818" spans="1:1" x14ac:dyDescent="0.3">
      <c r="A818" s="12"/>
    </row>
    <row r="819" spans="1:1" x14ac:dyDescent="0.3">
      <c r="A819" s="12"/>
    </row>
    <row r="820" spans="1:1" x14ac:dyDescent="0.3">
      <c r="A820" s="12"/>
    </row>
    <row r="821" spans="1:1" x14ac:dyDescent="0.3">
      <c r="A821" s="12"/>
    </row>
    <row r="822" spans="1:1" x14ac:dyDescent="0.3">
      <c r="A822" s="12"/>
    </row>
    <row r="823" spans="1:1" x14ac:dyDescent="0.3">
      <c r="A823" s="12"/>
    </row>
    <row r="824" spans="1:1" x14ac:dyDescent="0.3">
      <c r="A824" s="12"/>
    </row>
    <row r="825" spans="1:1" x14ac:dyDescent="0.3">
      <c r="A825" s="12"/>
    </row>
    <row r="826" spans="1:1" x14ac:dyDescent="0.3">
      <c r="A826" s="12"/>
    </row>
    <row r="827" spans="1:1" x14ac:dyDescent="0.3">
      <c r="A827" s="12"/>
    </row>
    <row r="828" spans="1:1" x14ac:dyDescent="0.3">
      <c r="A828" s="12"/>
    </row>
    <row r="829" spans="1:1" x14ac:dyDescent="0.3">
      <c r="A829" s="12"/>
    </row>
    <row r="830" spans="1:1" x14ac:dyDescent="0.3">
      <c r="A830" s="12"/>
    </row>
    <row r="831" spans="1:1" x14ac:dyDescent="0.3">
      <c r="A831" s="12"/>
    </row>
    <row r="832" spans="1:1" x14ac:dyDescent="0.3">
      <c r="A832" s="12"/>
    </row>
    <row r="833" spans="1:1" x14ac:dyDescent="0.3">
      <c r="A833" s="12"/>
    </row>
    <row r="834" spans="1:1" x14ac:dyDescent="0.3">
      <c r="A834" s="12"/>
    </row>
    <row r="835" spans="1:1" x14ac:dyDescent="0.3">
      <c r="A835" s="12"/>
    </row>
    <row r="836" spans="1:1" x14ac:dyDescent="0.3">
      <c r="A836" s="12"/>
    </row>
    <row r="837" spans="1:1" x14ac:dyDescent="0.3">
      <c r="A837" s="12"/>
    </row>
    <row r="838" spans="1:1" x14ac:dyDescent="0.3">
      <c r="A838" s="12"/>
    </row>
    <row r="839" spans="1:1" x14ac:dyDescent="0.3">
      <c r="A839" s="12"/>
    </row>
    <row r="840" spans="1:1" x14ac:dyDescent="0.3">
      <c r="A840" s="12"/>
    </row>
    <row r="841" spans="1:1" x14ac:dyDescent="0.3">
      <c r="A841" s="12"/>
    </row>
    <row r="842" spans="1:1" x14ac:dyDescent="0.3">
      <c r="A842" s="12"/>
    </row>
    <row r="843" spans="1:1" x14ac:dyDescent="0.3">
      <c r="A843" s="12"/>
    </row>
    <row r="844" spans="1:1" x14ac:dyDescent="0.3">
      <c r="A844" s="12"/>
    </row>
    <row r="845" spans="1:1" x14ac:dyDescent="0.3">
      <c r="A845" s="12"/>
    </row>
    <row r="846" spans="1:1" x14ac:dyDescent="0.3">
      <c r="A846" s="12"/>
    </row>
    <row r="847" spans="1:1" x14ac:dyDescent="0.3">
      <c r="A847" s="12"/>
    </row>
    <row r="848" spans="1:1" x14ac:dyDescent="0.3">
      <c r="A848" s="12"/>
    </row>
    <row r="849" spans="1:1" x14ac:dyDescent="0.3">
      <c r="A849" s="12"/>
    </row>
    <row r="850" spans="1:1" x14ac:dyDescent="0.3">
      <c r="A850" s="12"/>
    </row>
    <row r="851" spans="1:1" x14ac:dyDescent="0.3">
      <c r="A851" s="12"/>
    </row>
    <row r="852" spans="1:1" x14ac:dyDescent="0.3">
      <c r="A852" s="12"/>
    </row>
    <row r="853" spans="1:1" x14ac:dyDescent="0.3">
      <c r="A853" s="12"/>
    </row>
    <row r="854" spans="1:1" x14ac:dyDescent="0.3">
      <c r="A854" s="12"/>
    </row>
    <row r="855" spans="1:1" x14ac:dyDescent="0.3">
      <c r="A855" s="12"/>
    </row>
    <row r="856" spans="1:1" x14ac:dyDescent="0.3">
      <c r="A856" s="12"/>
    </row>
    <row r="857" spans="1:1" x14ac:dyDescent="0.3">
      <c r="A857" s="12"/>
    </row>
    <row r="858" spans="1:1" x14ac:dyDescent="0.3">
      <c r="A858" s="12"/>
    </row>
    <row r="859" spans="1:1" x14ac:dyDescent="0.3">
      <c r="A859" s="12"/>
    </row>
    <row r="860" spans="1:1" x14ac:dyDescent="0.3">
      <c r="A860" s="12"/>
    </row>
    <row r="861" spans="1:1" x14ac:dyDescent="0.3">
      <c r="A861" s="12"/>
    </row>
    <row r="862" spans="1:1" x14ac:dyDescent="0.3">
      <c r="A862" s="12"/>
    </row>
    <row r="863" spans="1:1" x14ac:dyDescent="0.3">
      <c r="A863" s="12"/>
    </row>
    <row r="864" spans="1:1" x14ac:dyDescent="0.3">
      <c r="A864" s="12"/>
    </row>
    <row r="865" spans="1:1" x14ac:dyDescent="0.3">
      <c r="A865" s="12"/>
    </row>
    <row r="866" spans="1:1" x14ac:dyDescent="0.3">
      <c r="A866" s="12"/>
    </row>
    <row r="867" spans="1:1" x14ac:dyDescent="0.3">
      <c r="A867" s="12"/>
    </row>
    <row r="868" spans="1:1" x14ac:dyDescent="0.3">
      <c r="A868" s="12"/>
    </row>
    <row r="869" spans="1:1" x14ac:dyDescent="0.3">
      <c r="A869" s="12"/>
    </row>
    <row r="870" spans="1:1" x14ac:dyDescent="0.3">
      <c r="A870" s="12"/>
    </row>
    <row r="871" spans="1:1" x14ac:dyDescent="0.3">
      <c r="A871" s="12"/>
    </row>
    <row r="872" spans="1:1" x14ac:dyDescent="0.3">
      <c r="A872" s="12"/>
    </row>
    <row r="873" spans="1:1" x14ac:dyDescent="0.3">
      <c r="A873" s="12"/>
    </row>
    <row r="874" spans="1:1" x14ac:dyDescent="0.3">
      <c r="A874" s="12"/>
    </row>
    <row r="875" spans="1:1" x14ac:dyDescent="0.3">
      <c r="A875" s="12"/>
    </row>
    <row r="876" spans="1:1" x14ac:dyDescent="0.3">
      <c r="A876" s="12"/>
    </row>
    <row r="877" spans="1:1" x14ac:dyDescent="0.3">
      <c r="A877" s="12"/>
    </row>
    <row r="878" spans="1:1" x14ac:dyDescent="0.3">
      <c r="A878" s="12"/>
    </row>
    <row r="879" spans="1:1" x14ac:dyDescent="0.3">
      <c r="A879" s="12"/>
    </row>
    <row r="880" spans="1:1" x14ac:dyDescent="0.3">
      <c r="A880" s="12"/>
    </row>
    <row r="881" spans="1:1" x14ac:dyDescent="0.3">
      <c r="A881" s="12"/>
    </row>
    <row r="882" spans="1:1" x14ac:dyDescent="0.3">
      <c r="A882" s="12"/>
    </row>
    <row r="883" spans="1:1" x14ac:dyDescent="0.3">
      <c r="A883" s="12"/>
    </row>
    <row r="884" spans="1:1" x14ac:dyDescent="0.3">
      <c r="A884" s="12"/>
    </row>
    <row r="885" spans="1:1" x14ac:dyDescent="0.3">
      <c r="A885" s="12"/>
    </row>
    <row r="886" spans="1:1" x14ac:dyDescent="0.3">
      <c r="A886" s="12"/>
    </row>
    <row r="887" spans="1:1" x14ac:dyDescent="0.3">
      <c r="A887" s="12"/>
    </row>
    <row r="888" spans="1:1" x14ac:dyDescent="0.3">
      <c r="A888" s="12"/>
    </row>
    <row r="889" spans="1:1" x14ac:dyDescent="0.3">
      <c r="A889" s="12"/>
    </row>
    <row r="890" spans="1:1" x14ac:dyDescent="0.3">
      <c r="A890" s="12"/>
    </row>
    <row r="891" spans="1:1" x14ac:dyDescent="0.3">
      <c r="A891" s="12"/>
    </row>
    <row r="892" spans="1:1" x14ac:dyDescent="0.3">
      <c r="A892" s="12"/>
    </row>
    <row r="893" spans="1:1" x14ac:dyDescent="0.3">
      <c r="A893" s="12"/>
    </row>
    <row r="894" spans="1:1" x14ac:dyDescent="0.3">
      <c r="A894" s="12"/>
    </row>
    <row r="895" spans="1:1" x14ac:dyDescent="0.3">
      <c r="A895" s="12"/>
    </row>
    <row r="896" spans="1:1" x14ac:dyDescent="0.3">
      <c r="A896" s="12"/>
    </row>
    <row r="897" spans="1:1" x14ac:dyDescent="0.3">
      <c r="A897" s="12"/>
    </row>
    <row r="898" spans="1:1" x14ac:dyDescent="0.3">
      <c r="A898" s="12"/>
    </row>
    <row r="899" spans="1:1" x14ac:dyDescent="0.3">
      <c r="A899" s="12"/>
    </row>
    <row r="900" spans="1:1" x14ac:dyDescent="0.3">
      <c r="A900" s="12"/>
    </row>
    <row r="901" spans="1:1" x14ac:dyDescent="0.3">
      <c r="A901" s="12"/>
    </row>
    <row r="902" spans="1:1" x14ac:dyDescent="0.3">
      <c r="A902" s="12"/>
    </row>
    <row r="903" spans="1:1" x14ac:dyDescent="0.3">
      <c r="A903" s="12"/>
    </row>
    <row r="904" spans="1:1" x14ac:dyDescent="0.3">
      <c r="A904" s="12"/>
    </row>
    <row r="905" spans="1:1" x14ac:dyDescent="0.3">
      <c r="A905" s="12"/>
    </row>
    <row r="906" spans="1:1" x14ac:dyDescent="0.3">
      <c r="A906" s="12"/>
    </row>
    <row r="907" spans="1:1" x14ac:dyDescent="0.3">
      <c r="A907" s="12"/>
    </row>
    <row r="908" spans="1:1" x14ac:dyDescent="0.3">
      <c r="A908" s="12"/>
    </row>
    <row r="909" spans="1:1" x14ac:dyDescent="0.3">
      <c r="A909" s="12"/>
    </row>
    <row r="910" spans="1:1" x14ac:dyDescent="0.3">
      <c r="A910" s="12"/>
    </row>
    <row r="911" spans="1:1" x14ac:dyDescent="0.3">
      <c r="A911" s="12"/>
    </row>
    <row r="912" spans="1:1" x14ac:dyDescent="0.3">
      <c r="A912" s="12"/>
    </row>
    <row r="913" spans="1:1" x14ac:dyDescent="0.3">
      <c r="A913" s="12"/>
    </row>
    <row r="914" spans="1:1" x14ac:dyDescent="0.3">
      <c r="A914" s="12"/>
    </row>
    <row r="915" spans="1:1" x14ac:dyDescent="0.3">
      <c r="A915" s="12"/>
    </row>
    <row r="916" spans="1:1" x14ac:dyDescent="0.3">
      <c r="A916" s="12"/>
    </row>
    <row r="917" spans="1:1" x14ac:dyDescent="0.3">
      <c r="A917" s="12"/>
    </row>
    <row r="918" spans="1:1" x14ac:dyDescent="0.3">
      <c r="A918" s="12"/>
    </row>
    <row r="919" spans="1:1" x14ac:dyDescent="0.3">
      <c r="A919" s="12"/>
    </row>
    <row r="920" spans="1:1" x14ac:dyDescent="0.3">
      <c r="A920" s="12"/>
    </row>
    <row r="921" spans="1:1" x14ac:dyDescent="0.3">
      <c r="A921" s="12"/>
    </row>
    <row r="922" spans="1:1" x14ac:dyDescent="0.3">
      <c r="A922" s="12"/>
    </row>
    <row r="923" spans="1:1" x14ac:dyDescent="0.3">
      <c r="A923" s="12"/>
    </row>
    <row r="924" spans="1:1" x14ac:dyDescent="0.3">
      <c r="A924" s="12"/>
    </row>
    <row r="925" spans="1:1" x14ac:dyDescent="0.3">
      <c r="A925" s="12"/>
    </row>
    <row r="926" spans="1:1" x14ac:dyDescent="0.3">
      <c r="A926" s="12"/>
    </row>
    <row r="927" spans="1:1" x14ac:dyDescent="0.3">
      <c r="A927" s="12"/>
    </row>
    <row r="928" spans="1:1" x14ac:dyDescent="0.3">
      <c r="A928" s="12"/>
    </row>
    <row r="929" spans="1:1" x14ac:dyDescent="0.3">
      <c r="A929" s="12"/>
    </row>
    <row r="930" spans="1:1" x14ac:dyDescent="0.3">
      <c r="A930" s="12"/>
    </row>
    <row r="931" spans="1:1" x14ac:dyDescent="0.3">
      <c r="A931" s="12"/>
    </row>
    <row r="932" spans="1:1" x14ac:dyDescent="0.3">
      <c r="A932" s="12"/>
    </row>
    <row r="933" spans="1:1" x14ac:dyDescent="0.3">
      <c r="A933" s="12"/>
    </row>
    <row r="934" spans="1:1" x14ac:dyDescent="0.3">
      <c r="A934" s="12"/>
    </row>
    <row r="935" spans="1:1" x14ac:dyDescent="0.3">
      <c r="A935" s="12"/>
    </row>
    <row r="936" spans="1:1" x14ac:dyDescent="0.3">
      <c r="A936" s="12"/>
    </row>
    <row r="937" spans="1:1" x14ac:dyDescent="0.3">
      <c r="A937" s="12"/>
    </row>
    <row r="938" spans="1:1" x14ac:dyDescent="0.3">
      <c r="A938" s="12"/>
    </row>
    <row r="939" spans="1:1" x14ac:dyDescent="0.3">
      <c r="A939" s="12"/>
    </row>
    <row r="940" spans="1:1" x14ac:dyDescent="0.3">
      <c r="A940" s="12"/>
    </row>
    <row r="941" spans="1:1" x14ac:dyDescent="0.3">
      <c r="A941" s="12"/>
    </row>
    <row r="942" spans="1:1" x14ac:dyDescent="0.3">
      <c r="A942" s="12"/>
    </row>
    <row r="943" spans="1:1" x14ac:dyDescent="0.3">
      <c r="A943" s="12"/>
    </row>
    <row r="944" spans="1:1" x14ac:dyDescent="0.3">
      <c r="A944" s="12"/>
    </row>
    <row r="945" spans="1:1" x14ac:dyDescent="0.3">
      <c r="A945" s="12"/>
    </row>
    <row r="946" spans="1:1" x14ac:dyDescent="0.3">
      <c r="A946" s="12"/>
    </row>
    <row r="947" spans="1:1" x14ac:dyDescent="0.3">
      <c r="A947" s="12"/>
    </row>
    <row r="948" spans="1:1" x14ac:dyDescent="0.3">
      <c r="A948" s="12"/>
    </row>
    <row r="949" spans="1:1" x14ac:dyDescent="0.3">
      <c r="A949" s="12"/>
    </row>
    <row r="950" spans="1:1" x14ac:dyDescent="0.3">
      <c r="A950" s="12"/>
    </row>
    <row r="951" spans="1:1" x14ac:dyDescent="0.3">
      <c r="A951" s="12"/>
    </row>
    <row r="952" spans="1:1" x14ac:dyDescent="0.3">
      <c r="A952" s="12"/>
    </row>
    <row r="953" spans="1:1" x14ac:dyDescent="0.3">
      <c r="A953" s="12"/>
    </row>
    <row r="954" spans="1:1" x14ac:dyDescent="0.3">
      <c r="A954" s="12"/>
    </row>
    <row r="955" spans="1:1" x14ac:dyDescent="0.3">
      <c r="A955" s="12"/>
    </row>
    <row r="956" spans="1:1" x14ac:dyDescent="0.3">
      <c r="A956" s="12"/>
    </row>
    <row r="957" spans="1:1" x14ac:dyDescent="0.3">
      <c r="A957" s="12"/>
    </row>
    <row r="958" spans="1:1" x14ac:dyDescent="0.3">
      <c r="A958" s="12"/>
    </row>
    <row r="959" spans="1:1" x14ac:dyDescent="0.3">
      <c r="A959" s="12"/>
    </row>
    <row r="960" spans="1:1" x14ac:dyDescent="0.3">
      <c r="A960" s="12"/>
    </row>
    <row r="961" spans="1:1" x14ac:dyDescent="0.3">
      <c r="A961" s="12"/>
    </row>
    <row r="962" spans="1:1" x14ac:dyDescent="0.3">
      <c r="A962" s="12"/>
    </row>
    <row r="963" spans="1:1" x14ac:dyDescent="0.3">
      <c r="A963" s="12"/>
    </row>
    <row r="964" spans="1:1" x14ac:dyDescent="0.3">
      <c r="A964" s="12"/>
    </row>
    <row r="965" spans="1:1" x14ac:dyDescent="0.3">
      <c r="A965" s="12"/>
    </row>
    <row r="966" spans="1:1" x14ac:dyDescent="0.3">
      <c r="A966" s="12"/>
    </row>
    <row r="967" spans="1:1" x14ac:dyDescent="0.3">
      <c r="A967" s="12"/>
    </row>
    <row r="968" spans="1:1" x14ac:dyDescent="0.3">
      <c r="A968" s="12"/>
    </row>
    <row r="969" spans="1:1" x14ac:dyDescent="0.3">
      <c r="A969" s="12"/>
    </row>
    <row r="970" spans="1:1" x14ac:dyDescent="0.3">
      <c r="A970" s="12"/>
    </row>
    <row r="971" spans="1:1" x14ac:dyDescent="0.3">
      <c r="A971" s="12"/>
    </row>
    <row r="972" spans="1:1" x14ac:dyDescent="0.3">
      <c r="A972" s="12"/>
    </row>
    <row r="973" spans="1:1" x14ac:dyDescent="0.3">
      <c r="A973" s="12"/>
    </row>
    <row r="974" spans="1:1" x14ac:dyDescent="0.3">
      <c r="A974" s="12"/>
    </row>
    <row r="975" spans="1:1" x14ac:dyDescent="0.3">
      <c r="A975" s="12"/>
    </row>
    <row r="976" spans="1:1" x14ac:dyDescent="0.3">
      <c r="A976" s="12"/>
    </row>
    <row r="977" spans="1:1" x14ac:dyDescent="0.3">
      <c r="A977" s="12"/>
    </row>
    <row r="978" spans="1:1" x14ac:dyDescent="0.3">
      <c r="A978" s="12"/>
    </row>
    <row r="979" spans="1:1" x14ac:dyDescent="0.3">
      <c r="A979" s="12"/>
    </row>
    <row r="980" spans="1:1" x14ac:dyDescent="0.3">
      <c r="A980" s="12"/>
    </row>
    <row r="981" spans="1:1" x14ac:dyDescent="0.3">
      <c r="A981" s="12"/>
    </row>
    <row r="982" spans="1:1" x14ac:dyDescent="0.3">
      <c r="A982" s="12"/>
    </row>
    <row r="983" spans="1:1" x14ac:dyDescent="0.3">
      <c r="A983" s="12"/>
    </row>
    <row r="984" spans="1:1" x14ac:dyDescent="0.3">
      <c r="A984" s="12"/>
    </row>
    <row r="985" spans="1:1" x14ac:dyDescent="0.3">
      <c r="A985" s="12"/>
    </row>
    <row r="986" spans="1:1" x14ac:dyDescent="0.3">
      <c r="A986" s="12"/>
    </row>
    <row r="987" spans="1:1" x14ac:dyDescent="0.3">
      <c r="A987" s="12"/>
    </row>
    <row r="988" spans="1:1" x14ac:dyDescent="0.3">
      <c r="A988" s="12"/>
    </row>
    <row r="989" spans="1:1" x14ac:dyDescent="0.3">
      <c r="A989" s="12"/>
    </row>
    <row r="990" spans="1:1" x14ac:dyDescent="0.3">
      <c r="A990" s="12"/>
    </row>
    <row r="991" spans="1:1" x14ac:dyDescent="0.3">
      <c r="A991" s="12"/>
    </row>
    <row r="992" spans="1:1" x14ac:dyDescent="0.3">
      <c r="A992" s="12"/>
    </row>
    <row r="993" spans="1:1" x14ac:dyDescent="0.3">
      <c r="A993" s="12"/>
    </row>
    <row r="994" spans="1:1" x14ac:dyDescent="0.3">
      <c r="A994" s="12"/>
    </row>
    <row r="995" spans="1:1" x14ac:dyDescent="0.3">
      <c r="A995" s="12"/>
    </row>
    <row r="996" spans="1:1" x14ac:dyDescent="0.3">
      <c r="A996" s="12"/>
    </row>
    <row r="997" spans="1:1" x14ac:dyDescent="0.3">
      <c r="A997" s="12"/>
    </row>
    <row r="998" spans="1:1" x14ac:dyDescent="0.3">
      <c r="A998" s="12"/>
    </row>
    <row r="999" spans="1:1" x14ac:dyDescent="0.3">
      <c r="A999" s="12"/>
    </row>
    <row r="1000" spans="1:1" x14ac:dyDescent="0.3">
      <c r="A1000" s="12"/>
    </row>
    <row r="1001" spans="1:1" x14ac:dyDescent="0.3">
      <c r="A1001" s="12"/>
    </row>
    <row r="1002" spans="1:1" x14ac:dyDescent="0.3">
      <c r="A1002" s="12"/>
    </row>
    <row r="1003" spans="1:1" x14ac:dyDescent="0.3">
      <c r="A1003" s="12"/>
    </row>
    <row r="1004" spans="1:1" x14ac:dyDescent="0.3">
      <c r="A1004" s="12"/>
    </row>
    <row r="1005" spans="1:1" x14ac:dyDescent="0.3">
      <c r="A1005" s="12"/>
    </row>
    <row r="1006" spans="1:1" x14ac:dyDescent="0.3">
      <c r="A1006" s="12"/>
    </row>
    <row r="1007" spans="1:1" x14ac:dyDescent="0.3">
      <c r="A1007" s="12"/>
    </row>
    <row r="1008" spans="1:1" x14ac:dyDescent="0.3">
      <c r="A1008" s="12"/>
    </row>
    <row r="1009" spans="1:1" x14ac:dyDescent="0.3">
      <c r="A1009" s="12"/>
    </row>
    <row r="1010" spans="1:1" x14ac:dyDescent="0.3">
      <c r="A1010" s="12"/>
    </row>
    <row r="1011" spans="1:1" x14ac:dyDescent="0.3">
      <c r="A1011" s="12"/>
    </row>
    <row r="1012" spans="1:1" x14ac:dyDescent="0.3">
      <c r="A1012" s="12"/>
    </row>
    <row r="1013" spans="1:1" x14ac:dyDescent="0.3">
      <c r="A1013" s="12"/>
    </row>
    <row r="1014" spans="1:1" x14ac:dyDescent="0.3">
      <c r="A1014" s="12"/>
    </row>
    <row r="1015" spans="1:1" x14ac:dyDescent="0.3">
      <c r="A1015" s="12"/>
    </row>
    <row r="1016" spans="1:1" x14ac:dyDescent="0.3">
      <c r="A1016" s="12"/>
    </row>
    <row r="1017" spans="1:1" x14ac:dyDescent="0.3">
      <c r="A1017" s="12"/>
    </row>
    <row r="1018" spans="1:1" x14ac:dyDescent="0.3">
      <c r="A1018" s="12"/>
    </row>
    <row r="1019" spans="1:1" x14ac:dyDescent="0.3">
      <c r="A1019" s="12"/>
    </row>
    <row r="1020" spans="1:1" x14ac:dyDescent="0.3">
      <c r="A1020" s="12"/>
    </row>
    <row r="1021" spans="1:1" x14ac:dyDescent="0.3">
      <c r="A1021" s="12"/>
    </row>
    <row r="1022" spans="1:1" x14ac:dyDescent="0.3">
      <c r="A1022" s="12"/>
    </row>
    <row r="1023" spans="1:1" x14ac:dyDescent="0.3">
      <c r="A1023" s="12"/>
    </row>
    <row r="1024" spans="1:1" x14ac:dyDescent="0.3">
      <c r="A1024" s="12"/>
    </row>
    <row r="1025" spans="1:1" x14ac:dyDescent="0.3">
      <c r="A1025" s="12"/>
    </row>
    <row r="1026" spans="1:1" x14ac:dyDescent="0.3">
      <c r="A1026" s="12"/>
    </row>
    <row r="1027" spans="1:1" x14ac:dyDescent="0.3">
      <c r="A1027" s="12"/>
    </row>
    <row r="1028" spans="1:1" x14ac:dyDescent="0.3">
      <c r="A1028" s="12"/>
    </row>
    <row r="1029" spans="1:1" x14ac:dyDescent="0.3">
      <c r="A1029" s="12"/>
    </row>
    <row r="1030" spans="1:1" x14ac:dyDescent="0.3">
      <c r="A1030" s="12"/>
    </row>
    <row r="1031" spans="1:1" x14ac:dyDescent="0.3">
      <c r="A1031" s="12"/>
    </row>
    <row r="1032" spans="1:1" x14ac:dyDescent="0.3">
      <c r="A1032" s="12"/>
    </row>
    <row r="1033" spans="1:1" x14ac:dyDescent="0.3">
      <c r="A1033" s="12"/>
    </row>
    <row r="1034" spans="1:1" x14ac:dyDescent="0.3">
      <c r="A1034" s="12"/>
    </row>
    <row r="1035" spans="1:1" x14ac:dyDescent="0.3">
      <c r="A1035" s="12"/>
    </row>
    <row r="1036" spans="1:1" x14ac:dyDescent="0.3">
      <c r="A1036" s="12"/>
    </row>
    <row r="1037" spans="1:1" x14ac:dyDescent="0.3">
      <c r="A1037" s="12"/>
    </row>
    <row r="1038" spans="1:1" x14ac:dyDescent="0.3">
      <c r="A1038" s="12"/>
    </row>
    <row r="1039" spans="1:1" x14ac:dyDescent="0.3">
      <c r="A1039" s="12"/>
    </row>
    <row r="1040" spans="1:1" x14ac:dyDescent="0.3">
      <c r="A1040" s="12"/>
    </row>
    <row r="1041" spans="1:1" x14ac:dyDescent="0.3">
      <c r="A1041" s="12"/>
    </row>
    <row r="1042" spans="1:1" x14ac:dyDescent="0.3">
      <c r="A1042" s="12"/>
    </row>
    <row r="1043" spans="1:1" x14ac:dyDescent="0.3">
      <c r="A1043" s="12"/>
    </row>
    <row r="1044" spans="1:1" x14ac:dyDescent="0.3">
      <c r="A1044" s="12"/>
    </row>
    <row r="1045" spans="1:1" x14ac:dyDescent="0.3">
      <c r="A1045" s="12"/>
    </row>
    <row r="1046" spans="1:1" x14ac:dyDescent="0.3">
      <c r="A1046" s="12"/>
    </row>
    <row r="1047" spans="1:1" x14ac:dyDescent="0.3">
      <c r="A1047" s="12"/>
    </row>
    <row r="1048" spans="1:1" x14ac:dyDescent="0.3">
      <c r="A1048" s="12"/>
    </row>
    <row r="1049" spans="1:1" x14ac:dyDescent="0.3">
      <c r="A1049" s="12"/>
    </row>
    <row r="1050" spans="1:1" x14ac:dyDescent="0.3">
      <c r="A1050" s="12"/>
    </row>
    <row r="1051" spans="1:1" x14ac:dyDescent="0.3">
      <c r="A1051" s="12"/>
    </row>
    <row r="1052" spans="1:1" x14ac:dyDescent="0.3">
      <c r="A1052" s="12"/>
    </row>
    <row r="1053" spans="1:1" x14ac:dyDescent="0.3">
      <c r="A1053" s="12"/>
    </row>
    <row r="1054" spans="1:1" x14ac:dyDescent="0.3">
      <c r="A1054" s="12"/>
    </row>
    <row r="1055" spans="1:1" x14ac:dyDescent="0.3">
      <c r="A1055" s="12"/>
    </row>
    <row r="1056" spans="1:1" x14ac:dyDescent="0.3">
      <c r="A1056" s="12"/>
    </row>
    <row r="1057" spans="1:1" x14ac:dyDescent="0.3">
      <c r="A1057" s="12"/>
    </row>
    <row r="1058" spans="1:1" x14ac:dyDescent="0.3">
      <c r="A1058" s="12"/>
    </row>
    <row r="1059" spans="1:1" x14ac:dyDescent="0.3">
      <c r="A1059" s="12"/>
    </row>
    <row r="1060" spans="1:1" x14ac:dyDescent="0.3">
      <c r="A1060" s="12"/>
    </row>
    <row r="1061" spans="1:1" x14ac:dyDescent="0.3">
      <c r="A1061" s="12"/>
    </row>
    <row r="1062" spans="1:1" x14ac:dyDescent="0.3">
      <c r="A1062" s="12"/>
    </row>
    <row r="1063" spans="1:1" x14ac:dyDescent="0.3">
      <c r="A1063" s="12"/>
    </row>
    <row r="1064" spans="1:1" x14ac:dyDescent="0.3">
      <c r="A1064" s="12"/>
    </row>
    <row r="1065" spans="1:1" x14ac:dyDescent="0.3">
      <c r="A1065" s="12"/>
    </row>
    <row r="1066" spans="1:1" x14ac:dyDescent="0.3">
      <c r="A1066" s="12"/>
    </row>
    <row r="1067" spans="1:1" x14ac:dyDescent="0.3">
      <c r="A1067" s="12"/>
    </row>
    <row r="1068" spans="1:1" x14ac:dyDescent="0.3">
      <c r="A1068" s="12"/>
    </row>
    <row r="1069" spans="1:1" x14ac:dyDescent="0.3">
      <c r="A1069" s="12"/>
    </row>
    <row r="1070" spans="1:1" x14ac:dyDescent="0.3">
      <c r="A1070" s="12"/>
    </row>
    <row r="1071" spans="1:1" x14ac:dyDescent="0.3">
      <c r="A1071" s="12"/>
    </row>
    <row r="1072" spans="1:1" x14ac:dyDescent="0.3">
      <c r="A1072" s="12"/>
    </row>
    <row r="1073" spans="1:1" x14ac:dyDescent="0.3">
      <c r="A1073" s="12"/>
    </row>
    <row r="1074" spans="1:1" x14ac:dyDescent="0.3">
      <c r="A1074" s="12"/>
    </row>
    <row r="1075" spans="1:1" x14ac:dyDescent="0.3">
      <c r="A1075" s="12"/>
    </row>
    <row r="1076" spans="1:1" x14ac:dyDescent="0.3">
      <c r="A1076" s="12"/>
    </row>
    <row r="1077" spans="1:1" x14ac:dyDescent="0.3">
      <c r="A1077" s="12"/>
    </row>
    <row r="1078" spans="1:1" x14ac:dyDescent="0.3">
      <c r="A1078" s="12"/>
    </row>
    <row r="1079" spans="1:1" x14ac:dyDescent="0.3">
      <c r="A1079" s="12"/>
    </row>
    <row r="1080" spans="1:1" x14ac:dyDescent="0.3">
      <c r="A1080" s="12"/>
    </row>
    <row r="1081" spans="1:1" x14ac:dyDescent="0.3">
      <c r="A1081" s="12"/>
    </row>
    <row r="1082" spans="1:1" x14ac:dyDescent="0.3">
      <c r="A1082" s="12"/>
    </row>
    <row r="1083" spans="1:1" x14ac:dyDescent="0.3">
      <c r="A1083" s="12"/>
    </row>
    <row r="1084" spans="1:1" x14ac:dyDescent="0.3">
      <c r="A1084" s="12"/>
    </row>
    <row r="1085" spans="1:1" x14ac:dyDescent="0.3">
      <c r="A1085" s="12"/>
    </row>
    <row r="1086" spans="1:1" x14ac:dyDescent="0.3">
      <c r="A1086" s="12"/>
    </row>
    <row r="1087" spans="1:1" x14ac:dyDescent="0.3">
      <c r="A1087" s="12"/>
    </row>
    <row r="1088" spans="1:1" x14ac:dyDescent="0.3">
      <c r="A1088" s="12"/>
    </row>
    <row r="1089" spans="1:1" x14ac:dyDescent="0.3">
      <c r="A1089" s="12"/>
    </row>
    <row r="1090" spans="1:1" x14ac:dyDescent="0.3">
      <c r="A1090" s="12"/>
    </row>
    <row r="1091" spans="1:1" x14ac:dyDescent="0.3">
      <c r="A1091" s="12"/>
    </row>
    <row r="1092" spans="1:1" x14ac:dyDescent="0.3">
      <c r="A1092" s="12"/>
    </row>
    <row r="1093" spans="1:1" x14ac:dyDescent="0.3">
      <c r="A1093" s="12"/>
    </row>
    <row r="1094" spans="1:1" x14ac:dyDescent="0.3">
      <c r="A1094" s="12"/>
    </row>
    <row r="1095" spans="1:1" x14ac:dyDescent="0.3">
      <c r="A1095" s="12"/>
    </row>
    <row r="1096" spans="1:1" x14ac:dyDescent="0.3">
      <c r="A1096" s="12"/>
    </row>
    <row r="1097" spans="1:1" x14ac:dyDescent="0.3">
      <c r="A1097" s="12"/>
    </row>
    <row r="1098" spans="1:1" x14ac:dyDescent="0.3">
      <c r="A1098" s="12"/>
    </row>
    <row r="1099" spans="1:1" x14ac:dyDescent="0.3">
      <c r="A1099" s="12"/>
    </row>
    <row r="1100" spans="1:1" x14ac:dyDescent="0.3">
      <c r="A1100" s="12"/>
    </row>
    <row r="1101" spans="1:1" x14ac:dyDescent="0.3">
      <c r="A1101" s="12"/>
    </row>
    <row r="1102" spans="1:1" x14ac:dyDescent="0.3">
      <c r="A1102" s="12"/>
    </row>
    <row r="1103" spans="1:1" x14ac:dyDescent="0.3">
      <c r="A1103" s="12"/>
    </row>
    <row r="1104" spans="1:1" x14ac:dyDescent="0.3">
      <c r="A1104" s="12"/>
    </row>
    <row r="1105" spans="1:1" x14ac:dyDescent="0.3">
      <c r="A1105" s="12"/>
    </row>
    <row r="1106" spans="1:1" x14ac:dyDescent="0.3">
      <c r="A1106" s="12"/>
    </row>
    <row r="1107" spans="1:1" x14ac:dyDescent="0.3">
      <c r="A1107" s="12"/>
    </row>
    <row r="1108" spans="1:1" x14ac:dyDescent="0.3">
      <c r="A1108" s="12"/>
    </row>
    <row r="1109" spans="1:1" x14ac:dyDescent="0.3">
      <c r="A1109" s="12"/>
    </row>
    <row r="1110" spans="1:1" x14ac:dyDescent="0.3">
      <c r="A1110" s="12"/>
    </row>
    <row r="1111" spans="1:1" x14ac:dyDescent="0.3">
      <c r="A1111" s="12"/>
    </row>
    <row r="1112" spans="1:1" x14ac:dyDescent="0.3">
      <c r="A1112" s="12"/>
    </row>
    <row r="1113" spans="1:1" x14ac:dyDescent="0.3">
      <c r="A1113" s="12"/>
    </row>
    <row r="1114" spans="1:1" x14ac:dyDescent="0.3">
      <c r="A1114" s="12"/>
    </row>
    <row r="1115" spans="1:1" x14ac:dyDescent="0.3">
      <c r="A1115" s="12"/>
    </row>
    <row r="1116" spans="1:1" x14ac:dyDescent="0.3">
      <c r="A1116" s="12"/>
    </row>
    <row r="1117" spans="1:1" x14ac:dyDescent="0.3">
      <c r="A1117" s="12"/>
    </row>
    <row r="1118" spans="1:1" x14ac:dyDescent="0.3">
      <c r="A1118" s="12"/>
    </row>
    <row r="1119" spans="1:1" x14ac:dyDescent="0.3">
      <c r="A1119" s="12"/>
    </row>
    <row r="1120" spans="1:1" x14ac:dyDescent="0.3">
      <c r="A1120" s="12"/>
    </row>
    <row r="1121" spans="1:1" x14ac:dyDescent="0.3">
      <c r="A1121" s="12"/>
    </row>
    <row r="1122" spans="1:1" x14ac:dyDescent="0.3">
      <c r="A1122" s="12"/>
    </row>
    <row r="1123" spans="1:1" x14ac:dyDescent="0.3">
      <c r="A1123" s="12"/>
    </row>
    <row r="1124" spans="1:1" x14ac:dyDescent="0.3">
      <c r="A1124" s="12"/>
    </row>
    <row r="1125" spans="1:1" x14ac:dyDescent="0.3">
      <c r="A1125" s="12"/>
    </row>
    <row r="1126" spans="1:1" x14ac:dyDescent="0.3">
      <c r="A1126" s="12"/>
    </row>
    <row r="1127" spans="1:1" x14ac:dyDescent="0.3">
      <c r="A1127" s="12"/>
    </row>
    <row r="1128" spans="1:1" x14ac:dyDescent="0.3">
      <c r="A1128" s="12"/>
    </row>
    <row r="1129" spans="1:1" x14ac:dyDescent="0.3">
      <c r="A1129" s="12"/>
    </row>
    <row r="1130" spans="1:1" x14ac:dyDescent="0.3">
      <c r="A1130" s="12"/>
    </row>
    <row r="1131" spans="1:1" x14ac:dyDescent="0.3">
      <c r="A1131" s="12"/>
    </row>
    <row r="1132" spans="1:1" x14ac:dyDescent="0.3">
      <c r="A1132" s="12"/>
    </row>
    <row r="1133" spans="1:1" x14ac:dyDescent="0.3">
      <c r="A1133" s="12"/>
    </row>
    <row r="1134" spans="1:1" x14ac:dyDescent="0.3">
      <c r="A1134" s="12"/>
    </row>
    <row r="1135" spans="1:1" x14ac:dyDescent="0.3">
      <c r="A1135" s="12"/>
    </row>
    <row r="1136" spans="1:1" x14ac:dyDescent="0.3">
      <c r="A1136" s="12"/>
    </row>
    <row r="1137" spans="1:1" x14ac:dyDescent="0.3">
      <c r="A1137" s="12"/>
    </row>
    <row r="1138" spans="1:1" x14ac:dyDescent="0.3">
      <c r="A1138" s="12"/>
    </row>
    <row r="1139" spans="1:1" x14ac:dyDescent="0.3">
      <c r="A1139" s="12"/>
    </row>
    <row r="1140" spans="1:1" x14ac:dyDescent="0.3">
      <c r="A1140" s="12"/>
    </row>
    <row r="1141" spans="1:1" x14ac:dyDescent="0.3">
      <c r="A1141" s="12"/>
    </row>
    <row r="1142" spans="1:1" x14ac:dyDescent="0.3">
      <c r="A1142" s="12"/>
    </row>
    <row r="1143" spans="1:1" x14ac:dyDescent="0.3">
      <c r="A1143" s="12"/>
    </row>
    <row r="1144" spans="1:1" x14ac:dyDescent="0.3">
      <c r="A1144" s="12"/>
    </row>
    <row r="1145" spans="1:1" x14ac:dyDescent="0.3">
      <c r="A1145" s="12"/>
    </row>
    <row r="1146" spans="1:1" x14ac:dyDescent="0.3">
      <c r="A1146" s="12"/>
    </row>
    <row r="1147" spans="1:1" x14ac:dyDescent="0.3">
      <c r="A1147" s="12"/>
    </row>
    <row r="1148" spans="1:1" x14ac:dyDescent="0.3">
      <c r="A1148" s="12"/>
    </row>
    <row r="1149" spans="1:1" x14ac:dyDescent="0.3">
      <c r="A1149" s="12"/>
    </row>
    <row r="1150" spans="1:1" x14ac:dyDescent="0.3">
      <c r="A1150" s="12"/>
    </row>
    <row r="1151" spans="1:1" x14ac:dyDescent="0.3">
      <c r="A1151" s="12"/>
    </row>
    <row r="1152" spans="1:1" x14ac:dyDescent="0.3">
      <c r="A1152" s="12"/>
    </row>
    <row r="1153" spans="1:1" x14ac:dyDescent="0.3">
      <c r="A1153" s="12"/>
    </row>
    <row r="1154" spans="1:1" x14ac:dyDescent="0.3">
      <c r="A1154" s="12"/>
    </row>
    <row r="1155" spans="1:1" x14ac:dyDescent="0.3">
      <c r="A1155" s="12"/>
    </row>
    <row r="1156" spans="1:1" x14ac:dyDescent="0.3">
      <c r="A1156" s="12"/>
    </row>
    <row r="1157" spans="1:1" x14ac:dyDescent="0.3">
      <c r="A1157" s="12"/>
    </row>
    <row r="1158" spans="1:1" x14ac:dyDescent="0.3">
      <c r="A1158" s="12"/>
    </row>
    <row r="1159" spans="1:1" x14ac:dyDescent="0.3">
      <c r="A1159" s="12"/>
    </row>
    <row r="1160" spans="1:1" x14ac:dyDescent="0.3">
      <c r="A1160" s="12"/>
    </row>
    <row r="1161" spans="1:1" x14ac:dyDescent="0.3">
      <c r="A1161" s="12"/>
    </row>
    <row r="1162" spans="1:1" x14ac:dyDescent="0.3">
      <c r="A1162" s="12"/>
    </row>
    <row r="1163" spans="1:1" x14ac:dyDescent="0.3">
      <c r="A1163" s="12"/>
    </row>
    <row r="1164" spans="1:1" x14ac:dyDescent="0.3">
      <c r="A1164" s="12"/>
    </row>
    <row r="1165" spans="1:1" x14ac:dyDescent="0.3">
      <c r="A1165" s="12"/>
    </row>
    <row r="1166" spans="1:1" x14ac:dyDescent="0.3">
      <c r="A1166" s="12"/>
    </row>
    <row r="1167" spans="1:1" x14ac:dyDescent="0.3">
      <c r="A1167" s="12"/>
    </row>
    <row r="1168" spans="1:1" x14ac:dyDescent="0.3">
      <c r="A1168" s="12"/>
    </row>
    <row r="1169" spans="1:1" x14ac:dyDescent="0.3">
      <c r="A1169" s="12"/>
    </row>
    <row r="1170" spans="1:1" x14ac:dyDescent="0.3">
      <c r="A1170" s="12"/>
    </row>
    <row r="1171" spans="1:1" x14ac:dyDescent="0.3">
      <c r="A1171" s="12"/>
    </row>
    <row r="1172" spans="1:1" x14ac:dyDescent="0.3">
      <c r="A1172" s="12"/>
    </row>
    <row r="1173" spans="1:1" x14ac:dyDescent="0.3">
      <c r="A1173" s="12"/>
    </row>
    <row r="1174" spans="1:1" x14ac:dyDescent="0.3">
      <c r="A1174" s="12"/>
    </row>
    <row r="1175" spans="1:1" x14ac:dyDescent="0.3">
      <c r="A1175" s="12"/>
    </row>
    <row r="1176" spans="1:1" x14ac:dyDescent="0.3">
      <c r="A1176" s="12"/>
    </row>
    <row r="1177" spans="1:1" x14ac:dyDescent="0.3">
      <c r="A1177" s="12"/>
    </row>
    <row r="1178" spans="1:1" x14ac:dyDescent="0.3">
      <c r="A1178" s="12"/>
    </row>
    <row r="1179" spans="1:1" x14ac:dyDescent="0.3">
      <c r="A1179" s="12"/>
    </row>
    <row r="1180" spans="1:1" x14ac:dyDescent="0.3">
      <c r="A1180" s="12"/>
    </row>
    <row r="1181" spans="1:1" x14ac:dyDescent="0.3">
      <c r="A1181" s="12"/>
    </row>
    <row r="1182" spans="1:1" x14ac:dyDescent="0.3">
      <c r="A1182" s="12"/>
    </row>
    <row r="1183" spans="1:1" x14ac:dyDescent="0.3">
      <c r="A1183" s="12"/>
    </row>
    <row r="1184" spans="1:1" x14ac:dyDescent="0.3">
      <c r="A1184" s="12"/>
    </row>
    <row r="1185" spans="1:1" x14ac:dyDescent="0.3">
      <c r="A1185" s="12"/>
    </row>
    <row r="1186" spans="1:1" x14ac:dyDescent="0.3">
      <c r="A1186" s="12"/>
    </row>
    <row r="1187" spans="1:1" x14ac:dyDescent="0.3">
      <c r="A1187" s="12"/>
    </row>
    <row r="1188" spans="1:1" x14ac:dyDescent="0.3">
      <c r="A1188" s="12"/>
    </row>
    <row r="1189" spans="1:1" x14ac:dyDescent="0.3">
      <c r="A1189" s="12"/>
    </row>
    <row r="1190" spans="1:1" x14ac:dyDescent="0.3">
      <c r="A1190" s="12"/>
    </row>
    <row r="1191" spans="1:1" x14ac:dyDescent="0.3">
      <c r="A1191" s="12"/>
    </row>
    <row r="1192" spans="1:1" x14ac:dyDescent="0.3">
      <c r="A1192" s="12"/>
    </row>
    <row r="1193" spans="1:1" x14ac:dyDescent="0.3">
      <c r="A1193" s="12"/>
    </row>
    <row r="1194" spans="1:1" x14ac:dyDescent="0.3">
      <c r="A1194" s="12"/>
    </row>
    <row r="1195" spans="1:1" x14ac:dyDescent="0.3">
      <c r="A1195" s="12"/>
    </row>
    <row r="1196" spans="1:1" x14ac:dyDescent="0.3">
      <c r="A1196" s="12"/>
    </row>
    <row r="1197" spans="1:1" x14ac:dyDescent="0.3">
      <c r="A1197" s="12"/>
    </row>
    <row r="1198" spans="1:1" x14ac:dyDescent="0.3">
      <c r="A1198" s="12"/>
    </row>
    <row r="1199" spans="1:1" x14ac:dyDescent="0.3">
      <c r="A1199" s="12"/>
    </row>
    <row r="1200" spans="1:1" x14ac:dyDescent="0.3">
      <c r="A1200" s="12"/>
    </row>
    <row r="1201" spans="1:1" x14ac:dyDescent="0.3">
      <c r="A1201" s="12"/>
    </row>
    <row r="1202" spans="1:1" x14ac:dyDescent="0.3">
      <c r="A1202" s="12"/>
    </row>
    <row r="1203" spans="1:1" x14ac:dyDescent="0.3">
      <c r="A1203" s="12"/>
    </row>
    <row r="1204" spans="1:1" x14ac:dyDescent="0.3">
      <c r="A1204" s="12"/>
    </row>
    <row r="1205" spans="1:1" x14ac:dyDescent="0.3">
      <c r="A1205" s="12"/>
    </row>
    <row r="1206" spans="1:1" x14ac:dyDescent="0.3">
      <c r="A1206" s="12"/>
    </row>
    <row r="1207" spans="1:1" x14ac:dyDescent="0.3">
      <c r="A1207" s="12"/>
    </row>
    <row r="1208" spans="1:1" x14ac:dyDescent="0.3">
      <c r="A1208" s="12"/>
    </row>
    <row r="1209" spans="1:1" x14ac:dyDescent="0.3">
      <c r="A1209" s="12"/>
    </row>
    <row r="1210" spans="1:1" x14ac:dyDescent="0.3">
      <c r="A1210" s="12"/>
    </row>
    <row r="1211" spans="1:1" x14ac:dyDescent="0.3">
      <c r="A1211" s="12"/>
    </row>
    <row r="1212" spans="1:1" x14ac:dyDescent="0.3">
      <c r="A1212" s="12"/>
    </row>
    <row r="1213" spans="1:1" x14ac:dyDescent="0.3">
      <c r="A1213" s="12"/>
    </row>
    <row r="1214" spans="1:1" x14ac:dyDescent="0.3">
      <c r="A1214" s="12"/>
    </row>
    <row r="1215" spans="1:1" x14ac:dyDescent="0.3">
      <c r="A1215" s="12"/>
    </row>
    <row r="1216" spans="1:1" x14ac:dyDescent="0.3">
      <c r="A1216" s="12"/>
    </row>
    <row r="1217" spans="1:1" x14ac:dyDescent="0.3">
      <c r="A1217" s="12"/>
    </row>
    <row r="1218" spans="1:1" x14ac:dyDescent="0.3">
      <c r="A1218" s="12"/>
    </row>
    <row r="1219" spans="1:1" x14ac:dyDescent="0.3">
      <c r="A1219" s="12"/>
    </row>
    <row r="1220" spans="1:1" x14ac:dyDescent="0.3">
      <c r="A1220" s="12"/>
    </row>
    <row r="1221" spans="1:1" x14ac:dyDescent="0.3">
      <c r="A1221" s="12"/>
    </row>
    <row r="1222" spans="1:1" x14ac:dyDescent="0.3">
      <c r="A1222" s="12"/>
    </row>
    <row r="1223" spans="1:1" x14ac:dyDescent="0.3">
      <c r="A1223" s="12"/>
    </row>
    <row r="1224" spans="1:1" x14ac:dyDescent="0.3">
      <c r="A1224" s="12"/>
    </row>
    <row r="1225" spans="1:1" x14ac:dyDescent="0.3">
      <c r="A1225" s="12"/>
    </row>
    <row r="1226" spans="1:1" x14ac:dyDescent="0.3">
      <c r="A1226" s="12"/>
    </row>
    <row r="1227" spans="1:1" x14ac:dyDescent="0.3">
      <c r="A1227" s="12"/>
    </row>
    <row r="1228" spans="1:1" x14ac:dyDescent="0.3">
      <c r="A1228" s="12"/>
    </row>
    <row r="1229" spans="1:1" x14ac:dyDescent="0.3">
      <c r="A1229" s="12"/>
    </row>
    <row r="1230" spans="1:1" x14ac:dyDescent="0.3">
      <c r="A1230" s="12"/>
    </row>
    <row r="1231" spans="1:1" x14ac:dyDescent="0.3">
      <c r="A1231" s="12"/>
    </row>
    <row r="1232" spans="1:1" x14ac:dyDescent="0.3">
      <c r="A1232" s="12"/>
    </row>
    <row r="1233" spans="1:1" x14ac:dyDescent="0.3">
      <c r="A1233" s="12"/>
    </row>
    <row r="1234" spans="1:1" x14ac:dyDescent="0.3">
      <c r="A1234" s="12"/>
    </row>
    <row r="1235" spans="1:1" x14ac:dyDescent="0.3">
      <c r="A1235" s="12"/>
    </row>
    <row r="1236" spans="1:1" x14ac:dyDescent="0.3">
      <c r="A1236" s="12"/>
    </row>
    <row r="1237" spans="1:1" x14ac:dyDescent="0.3">
      <c r="A1237" s="12"/>
    </row>
    <row r="1238" spans="1:1" x14ac:dyDescent="0.3">
      <c r="A1238" s="12"/>
    </row>
    <row r="1239" spans="1:1" x14ac:dyDescent="0.3">
      <c r="A1239" s="12"/>
    </row>
    <row r="1240" spans="1:1" x14ac:dyDescent="0.3">
      <c r="A1240" s="12"/>
    </row>
    <row r="1241" spans="1:1" x14ac:dyDescent="0.3">
      <c r="A1241" s="12"/>
    </row>
    <row r="1242" spans="1:1" x14ac:dyDescent="0.3">
      <c r="A1242" s="12"/>
    </row>
    <row r="1243" spans="1:1" x14ac:dyDescent="0.3">
      <c r="A1243" s="12"/>
    </row>
    <row r="1244" spans="1:1" x14ac:dyDescent="0.3">
      <c r="A1244" s="12"/>
    </row>
    <row r="1245" spans="1:1" x14ac:dyDescent="0.3">
      <c r="A1245" s="12"/>
    </row>
    <row r="1246" spans="1:1" x14ac:dyDescent="0.3">
      <c r="A1246" s="12"/>
    </row>
    <row r="1247" spans="1:1" x14ac:dyDescent="0.3">
      <c r="A1247" s="12"/>
    </row>
    <row r="1248" spans="1:1" x14ac:dyDescent="0.3">
      <c r="A1248" s="12"/>
    </row>
    <row r="1249" spans="1:1" x14ac:dyDescent="0.3">
      <c r="A1249" s="12"/>
    </row>
    <row r="1250" spans="1:1" x14ac:dyDescent="0.3">
      <c r="A1250" s="12"/>
    </row>
    <row r="1251" spans="1:1" x14ac:dyDescent="0.3">
      <c r="A1251" s="12"/>
    </row>
    <row r="1252" spans="1:1" x14ac:dyDescent="0.3">
      <c r="A1252" s="12"/>
    </row>
    <row r="1253" spans="1:1" x14ac:dyDescent="0.3">
      <c r="A1253" s="12"/>
    </row>
    <row r="1254" spans="1:1" x14ac:dyDescent="0.3">
      <c r="A1254" s="12"/>
    </row>
    <row r="1255" spans="1:1" x14ac:dyDescent="0.3">
      <c r="A1255" s="12"/>
    </row>
    <row r="1256" spans="1:1" x14ac:dyDescent="0.3">
      <c r="A1256" s="12"/>
    </row>
    <row r="1257" spans="1:1" x14ac:dyDescent="0.3">
      <c r="A1257" s="12"/>
    </row>
    <row r="1258" spans="1:1" x14ac:dyDescent="0.3">
      <c r="A1258" s="12"/>
    </row>
    <row r="1259" spans="1:1" x14ac:dyDescent="0.3">
      <c r="A1259" s="12"/>
    </row>
    <row r="1260" spans="1:1" x14ac:dyDescent="0.3">
      <c r="A1260" s="12"/>
    </row>
    <row r="1261" spans="1:1" x14ac:dyDescent="0.3">
      <c r="A1261" s="12"/>
    </row>
    <row r="1262" spans="1:1" x14ac:dyDescent="0.3">
      <c r="A1262" s="12"/>
    </row>
    <row r="1263" spans="1:1" x14ac:dyDescent="0.3">
      <c r="A1263" s="12"/>
    </row>
    <row r="1264" spans="1:1" x14ac:dyDescent="0.3">
      <c r="A1264" s="12"/>
    </row>
    <row r="1265" spans="1:1" x14ac:dyDescent="0.3">
      <c r="A1265" s="12"/>
    </row>
    <row r="1266" spans="1:1" x14ac:dyDescent="0.3">
      <c r="A1266" s="12"/>
    </row>
    <row r="1267" spans="1:1" x14ac:dyDescent="0.3">
      <c r="A1267" s="12"/>
    </row>
    <row r="1268" spans="1:1" x14ac:dyDescent="0.3">
      <c r="A1268" s="12"/>
    </row>
    <row r="1269" spans="1:1" x14ac:dyDescent="0.3">
      <c r="A1269" s="12"/>
    </row>
    <row r="1270" spans="1:1" x14ac:dyDescent="0.3">
      <c r="A1270" s="12"/>
    </row>
    <row r="1271" spans="1:1" x14ac:dyDescent="0.3">
      <c r="A1271" s="12"/>
    </row>
    <row r="1272" spans="1:1" x14ac:dyDescent="0.3">
      <c r="A1272" s="12"/>
    </row>
    <row r="1273" spans="1:1" x14ac:dyDescent="0.3">
      <c r="A1273" s="12"/>
    </row>
    <row r="1274" spans="1:1" x14ac:dyDescent="0.3">
      <c r="A1274" s="12"/>
    </row>
    <row r="1275" spans="1:1" x14ac:dyDescent="0.3">
      <c r="A1275" s="12"/>
    </row>
    <row r="1276" spans="1:1" x14ac:dyDescent="0.3">
      <c r="A1276" s="12"/>
    </row>
    <row r="1277" spans="1:1" x14ac:dyDescent="0.3">
      <c r="A1277" s="12"/>
    </row>
    <row r="1278" spans="1:1" x14ac:dyDescent="0.3">
      <c r="A1278" s="12"/>
    </row>
    <row r="1279" spans="1:1" x14ac:dyDescent="0.3">
      <c r="A1279" s="12"/>
    </row>
    <row r="1280" spans="1:1" x14ac:dyDescent="0.3">
      <c r="A1280" s="12"/>
    </row>
    <row r="1281" spans="1:1" x14ac:dyDescent="0.3">
      <c r="A1281" s="12"/>
    </row>
    <row r="1282" spans="1:1" x14ac:dyDescent="0.3">
      <c r="A1282" s="12"/>
    </row>
    <row r="1283" spans="1:1" x14ac:dyDescent="0.3">
      <c r="A1283" s="12"/>
    </row>
    <row r="1284" spans="1:1" x14ac:dyDescent="0.3">
      <c r="A1284" s="12"/>
    </row>
    <row r="1285" spans="1:1" x14ac:dyDescent="0.3">
      <c r="A1285" s="12"/>
    </row>
    <row r="1286" spans="1:1" x14ac:dyDescent="0.3">
      <c r="A1286" s="12"/>
    </row>
    <row r="1287" spans="1:1" x14ac:dyDescent="0.3">
      <c r="A1287" s="12"/>
    </row>
    <row r="1288" spans="1:1" x14ac:dyDescent="0.3">
      <c r="A1288" s="12"/>
    </row>
    <row r="1289" spans="1:1" x14ac:dyDescent="0.3">
      <c r="A1289" s="12"/>
    </row>
    <row r="1290" spans="1:1" x14ac:dyDescent="0.3">
      <c r="A1290" s="12"/>
    </row>
    <row r="1291" spans="1:1" x14ac:dyDescent="0.3">
      <c r="A1291" s="12"/>
    </row>
    <row r="1292" spans="1:1" x14ac:dyDescent="0.3">
      <c r="A1292" s="12"/>
    </row>
    <row r="1293" spans="1:1" x14ac:dyDescent="0.3">
      <c r="A1293" s="12"/>
    </row>
    <row r="1294" spans="1:1" x14ac:dyDescent="0.3">
      <c r="A1294" s="12"/>
    </row>
    <row r="1295" spans="1:1" x14ac:dyDescent="0.3">
      <c r="A1295" s="12"/>
    </row>
    <row r="1296" spans="1:1" x14ac:dyDescent="0.3">
      <c r="A1296" s="12"/>
    </row>
    <row r="1297" spans="1:1" x14ac:dyDescent="0.3">
      <c r="A1297" s="12"/>
    </row>
    <row r="1298" spans="1:1" x14ac:dyDescent="0.3">
      <c r="A1298" s="12"/>
    </row>
    <row r="1299" spans="1:1" x14ac:dyDescent="0.3">
      <c r="A1299" s="12"/>
    </row>
    <row r="1300" spans="1:1" x14ac:dyDescent="0.3">
      <c r="A1300" s="12"/>
    </row>
    <row r="1301" spans="1:1" x14ac:dyDescent="0.3">
      <c r="A1301" s="12"/>
    </row>
    <row r="1302" spans="1:1" x14ac:dyDescent="0.3">
      <c r="A1302" s="12"/>
    </row>
    <row r="1303" spans="1:1" x14ac:dyDescent="0.3">
      <c r="A1303" s="12"/>
    </row>
    <row r="1304" spans="1:1" x14ac:dyDescent="0.3">
      <c r="A1304" s="12"/>
    </row>
    <row r="1305" spans="1:1" x14ac:dyDescent="0.3">
      <c r="A1305" s="12"/>
    </row>
    <row r="1306" spans="1:1" x14ac:dyDescent="0.3">
      <c r="A1306" s="12"/>
    </row>
    <row r="1307" spans="1:1" x14ac:dyDescent="0.3">
      <c r="A1307" s="12"/>
    </row>
    <row r="1308" spans="1:1" x14ac:dyDescent="0.3">
      <c r="A1308" s="12"/>
    </row>
    <row r="1309" spans="1:1" x14ac:dyDescent="0.3">
      <c r="A1309" s="12"/>
    </row>
    <row r="1310" spans="1:1" x14ac:dyDescent="0.3">
      <c r="A1310" s="12"/>
    </row>
    <row r="1311" spans="1:1" x14ac:dyDescent="0.3">
      <c r="A1311" s="12"/>
    </row>
    <row r="1312" spans="1:1" x14ac:dyDescent="0.3">
      <c r="A1312" s="12"/>
    </row>
    <row r="1313" spans="1:1" x14ac:dyDescent="0.3">
      <c r="A1313" s="12"/>
    </row>
    <row r="1314" spans="1:1" x14ac:dyDescent="0.3">
      <c r="A1314" s="12"/>
    </row>
    <row r="1315" spans="1:1" x14ac:dyDescent="0.3">
      <c r="A1315" s="12"/>
    </row>
    <row r="1316" spans="1:1" x14ac:dyDescent="0.3">
      <c r="A1316" s="12"/>
    </row>
    <row r="1317" spans="1:1" x14ac:dyDescent="0.3">
      <c r="A1317" s="12"/>
    </row>
    <row r="1318" spans="1:1" x14ac:dyDescent="0.3">
      <c r="A1318" s="12"/>
    </row>
    <row r="1319" spans="1:1" x14ac:dyDescent="0.3">
      <c r="A1319" s="12"/>
    </row>
    <row r="1320" spans="1:1" x14ac:dyDescent="0.3">
      <c r="A1320" s="12"/>
    </row>
    <row r="1321" spans="1:1" x14ac:dyDescent="0.3">
      <c r="A1321" s="12"/>
    </row>
    <row r="1322" spans="1:1" x14ac:dyDescent="0.3">
      <c r="A1322" s="12"/>
    </row>
    <row r="1323" spans="1:1" x14ac:dyDescent="0.3">
      <c r="A1323" s="12"/>
    </row>
    <row r="1324" spans="1:1" x14ac:dyDescent="0.3">
      <c r="A1324" s="12"/>
    </row>
    <row r="1325" spans="1:1" x14ac:dyDescent="0.3">
      <c r="A1325" s="12"/>
    </row>
    <row r="1326" spans="1:1" x14ac:dyDescent="0.3">
      <c r="A1326" s="12"/>
    </row>
    <row r="1327" spans="1:1" x14ac:dyDescent="0.3">
      <c r="A1327" s="12"/>
    </row>
    <row r="1328" spans="1:1" x14ac:dyDescent="0.3">
      <c r="A1328" s="12"/>
    </row>
    <row r="1329" spans="1:1" x14ac:dyDescent="0.3">
      <c r="A1329" s="12"/>
    </row>
    <row r="1330" spans="1:1" x14ac:dyDescent="0.3">
      <c r="A1330" s="12"/>
    </row>
    <row r="1331" spans="1:1" x14ac:dyDescent="0.3">
      <c r="A1331" s="12"/>
    </row>
    <row r="1332" spans="1:1" x14ac:dyDescent="0.3">
      <c r="A1332" s="12"/>
    </row>
    <row r="1333" spans="1:1" x14ac:dyDescent="0.3">
      <c r="A1333" s="12"/>
    </row>
    <row r="1334" spans="1:1" x14ac:dyDescent="0.3">
      <c r="A1334" s="12"/>
    </row>
    <row r="1335" spans="1:1" x14ac:dyDescent="0.3">
      <c r="A1335" s="12"/>
    </row>
    <row r="1336" spans="1:1" x14ac:dyDescent="0.3">
      <c r="A1336" s="12"/>
    </row>
    <row r="1337" spans="1:1" x14ac:dyDescent="0.3">
      <c r="A1337" s="12"/>
    </row>
    <row r="1338" spans="1:1" x14ac:dyDescent="0.3">
      <c r="A1338" s="12"/>
    </row>
    <row r="1339" spans="1:1" x14ac:dyDescent="0.3">
      <c r="A1339" s="12"/>
    </row>
    <row r="1340" spans="1:1" x14ac:dyDescent="0.3">
      <c r="A1340" s="12"/>
    </row>
    <row r="1341" spans="1:1" x14ac:dyDescent="0.3">
      <c r="A1341" s="12"/>
    </row>
    <row r="1342" spans="1:1" x14ac:dyDescent="0.3">
      <c r="A1342" s="12"/>
    </row>
    <row r="1343" spans="1:1" x14ac:dyDescent="0.3">
      <c r="A1343" s="12"/>
    </row>
    <row r="1344" spans="1:1" x14ac:dyDescent="0.3">
      <c r="A1344" s="12"/>
    </row>
    <row r="1345" spans="1:1" x14ac:dyDescent="0.3">
      <c r="A1345" s="12"/>
    </row>
    <row r="1346" spans="1:1" x14ac:dyDescent="0.3">
      <c r="A1346" s="12"/>
    </row>
    <row r="1347" spans="1:1" x14ac:dyDescent="0.3">
      <c r="A1347" s="12"/>
    </row>
    <row r="1348" spans="1:1" x14ac:dyDescent="0.3">
      <c r="A1348" s="12"/>
    </row>
    <row r="1349" spans="1:1" x14ac:dyDescent="0.3">
      <c r="A1349" s="12"/>
    </row>
    <row r="1350" spans="1:1" x14ac:dyDescent="0.3">
      <c r="A1350" s="12"/>
    </row>
    <row r="1351" spans="1:1" x14ac:dyDescent="0.3">
      <c r="A1351" s="12"/>
    </row>
    <row r="1352" spans="1:1" x14ac:dyDescent="0.3">
      <c r="A1352" s="12"/>
    </row>
    <row r="1353" spans="1:1" x14ac:dyDescent="0.3">
      <c r="A1353" s="12"/>
    </row>
    <row r="1354" spans="1:1" x14ac:dyDescent="0.3">
      <c r="A1354" s="12"/>
    </row>
    <row r="1355" spans="1:1" x14ac:dyDescent="0.3">
      <c r="A1355" s="12"/>
    </row>
    <row r="1356" spans="1:1" x14ac:dyDescent="0.3">
      <c r="A1356" s="12"/>
    </row>
    <row r="1357" spans="1:1" x14ac:dyDescent="0.3">
      <c r="A1357" s="12"/>
    </row>
    <row r="1358" spans="1:1" x14ac:dyDescent="0.3">
      <c r="A1358" s="12"/>
    </row>
    <row r="1359" spans="1:1" x14ac:dyDescent="0.3">
      <c r="A1359" s="12"/>
    </row>
    <row r="1360" spans="1:1" x14ac:dyDescent="0.3">
      <c r="A1360" s="12"/>
    </row>
    <row r="1361" spans="1:1" x14ac:dyDescent="0.3">
      <c r="A1361" s="12"/>
    </row>
    <row r="1362" spans="1:1" x14ac:dyDescent="0.3">
      <c r="A1362" s="12"/>
    </row>
    <row r="1363" spans="1:1" x14ac:dyDescent="0.3">
      <c r="A1363" s="12"/>
    </row>
    <row r="1364" spans="1:1" x14ac:dyDescent="0.3">
      <c r="A1364" s="12"/>
    </row>
    <row r="1365" spans="1:1" x14ac:dyDescent="0.3">
      <c r="A1365" s="12"/>
    </row>
    <row r="1366" spans="1:1" x14ac:dyDescent="0.3">
      <c r="A1366" s="12"/>
    </row>
    <row r="1367" spans="1:1" x14ac:dyDescent="0.3">
      <c r="A1367" s="12"/>
    </row>
    <row r="1368" spans="1:1" x14ac:dyDescent="0.3">
      <c r="A1368" s="12"/>
    </row>
    <row r="1369" spans="1:1" x14ac:dyDescent="0.3">
      <c r="A1369" s="12"/>
    </row>
    <row r="1370" spans="1:1" x14ac:dyDescent="0.3">
      <c r="A1370" s="12"/>
    </row>
    <row r="1371" spans="1:1" x14ac:dyDescent="0.3">
      <c r="A1371" s="12"/>
    </row>
    <row r="1372" spans="1:1" x14ac:dyDescent="0.3">
      <c r="A1372" s="12"/>
    </row>
    <row r="1373" spans="1:1" x14ac:dyDescent="0.3">
      <c r="A1373" s="12"/>
    </row>
    <row r="1374" spans="1:1" x14ac:dyDescent="0.3">
      <c r="A1374" s="12"/>
    </row>
    <row r="1375" spans="1:1" x14ac:dyDescent="0.3">
      <c r="A1375" s="12"/>
    </row>
    <row r="1376" spans="1:1" x14ac:dyDescent="0.3">
      <c r="A1376" s="12"/>
    </row>
    <row r="1377" spans="1:1" x14ac:dyDescent="0.3">
      <c r="A1377" s="12"/>
    </row>
    <row r="1378" spans="1:1" x14ac:dyDescent="0.3">
      <c r="A1378" s="12"/>
    </row>
    <row r="1379" spans="1:1" x14ac:dyDescent="0.3">
      <c r="A1379" s="12"/>
    </row>
    <row r="1380" spans="1:1" x14ac:dyDescent="0.3">
      <c r="A1380" s="12"/>
    </row>
    <row r="1381" spans="1:1" x14ac:dyDescent="0.3">
      <c r="A1381" s="12"/>
    </row>
    <row r="1382" spans="1:1" x14ac:dyDescent="0.3">
      <c r="A1382" s="12"/>
    </row>
    <row r="1383" spans="1:1" x14ac:dyDescent="0.3">
      <c r="A1383" s="12"/>
    </row>
    <row r="1384" spans="1:1" x14ac:dyDescent="0.3">
      <c r="A1384" s="12"/>
    </row>
    <row r="1385" spans="1:1" x14ac:dyDescent="0.3">
      <c r="A1385" s="12"/>
    </row>
    <row r="1386" spans="1:1" x14ac:dyDescent="0.3">
      <c r="A1386" s="12"/>
    </row>
    <row r="1387" spans="1:1" x14ac:dyDescent="0.3">
      <c r="A1387" s="12"/>
    </row>
    <row r="1388" spans="1:1" x14ac:dyDescent="0.3">
      <c r="A1388" s="12"/>
    </row>
    <row r="1389" spans="1:1" x14ac:dyDescent="0.3">
      <c r="A1389" s="12"/>
    </row>
    <row r="1390" spans="1:1" x14ac:dyDescent="0.3">
      <c r="A1390" s="12"/>
    </row>
    <row r="1391" spans="1:1" x14ac:dyDescent="0.3">
      <c r="A1391" s="12"/>
    </row>
    <row r="1392" spans="1:1" x14ac:dyDescent="0.3">
      <c r="A1392" s="12"/>
    </row>
    <row r="1393" spans="1:1" x14ac:dyDescent="0.3">
      <c r="A1393" s="12"/>
    </row>
    <row r="1394" spans="1:1" x14ac:dyDescent="0.3">
      <c r="A1394" s="12"/>
    </row>
    <row r="1395" spans="1:1" x14ac:dyDescent="0.3">
      <c r="A1395" s="12"/>
    </row>
    <row r="1396" spans="1:1" x14ac:dyDescent="0.3">
      <c r="A1396" s="12"/>
    </row>
    <row r="1397" spans="1:1" x14ac:dyDescent="0.3">
      <c r="A1397" s="12"/>
    </row>
    <row r="1398" spans="1:1" x14ac:dyDescent="0.3">
      <c r="A1398" s="12"/>
    </row>
    <row r="1399" spans="1:1" x14ac:dyDescent="0.3">
      <c r="A1399" s="12"/>
    </row>
    <row r="1400" spans="1:1" x14ac:dyDescent="0.3">
      <c r="A1400" s="12"/>
    </row>
    <row r="1401" spans="1:1" x14ac:dyDescent="0.3">
      <c r="A1401" s="12"/>
    </row>
    <row r="1402" spans="1:1" x14ac:dyDescent="0.3">
      <c r="A1402" s="12"/>
    </row>
    <row r="1403" spans="1:1" x14ac:dyDescent="0.3">
      <c r="A1403" s="12"/>
    </row>
    <row r="1404" spans="1:1" x14ac:dyDescent="0.3">
      <c r="A1404" s="12"/>
    </row>
    <row r="1405" spans="1:1" x14ac:dyDescent="0.3">
      <c r="A1405" s="12"/>
    </row>
    <row r="1406" spans="1:1" x14ac:dyDescent="0.3">
      <c r="A1406" s="12"/>
    </row>
    <row r="1407" spans="1:1" x14ac:dyDescent="0.3">
      <c r="A1407" s="12"/>
    </row>
    <row r="1408" spans="1:1" x14ac:dyDescent="0.3">
      <c r="A1408" s="12"/>
    </row>
    <row r="1409" spans="1:1" x14ac:dyDescent="0.3">
      <c r="A1409" s="12"/>
    </row>
    <row r="1410" spans="1:1" x14ac:dyDescent="0.3">
      <c r="A1410" s="12"/>
    </row>
    <row r="1411" spans="1:1" x14ac:dyDescent="0.3">
      <c r="A1411" s="12"/>
    </row>
    <row r="1412" spans="1:1" x14ac:dyDescent="0.3">
      <c r="A1412" s="12"/>
    </row>
    <row r="1413" spans="1:1" x14ac:dyDescent="0.3">
      <c r="A1413" s="12"/>
    </row>
    <row r="1414" spans="1:1" x14ac:dyDescent="0.3">
      <c r="A1414" s="12"/>
    </row>
    <row r="1415" spans="1:1" x14ac:dyDescent="0.3">
      <c r="A1415" s="12"/>
    </row>
    <row r="1416" spans="1:1" x14ac:dyDescent="0.3">
      <c r="A1416" s="12"/>
    </row>
    <row r="1417" spans="1:1" x14ac:dyDescent="0.3">
      <c r="A1417" s="12"/>
    </row>
    <row r="1418" spans="1:1" x14ac:dyDescent="0.3">
      <c r="A1418" s="12"/>
    </row>
    <row r="1419" spans="1:1" x14ac:dyDescent="0.3">
      <c r="A1419" s="12"/>
    </row>
    <row r="1420" spans="1:1" x14ac:dyDescent="0.3">
      <c r="A1420" s="12"/>
    </row>
    <row r="1421" spans="1:1" x14ac:dyDescent="0.3">
      <c r="A1421" s="12"/>
    </row>
    <row r="1422" spans="1:1" x14ac:dyDescent="0.3">
      <c r="A1422" s="12"/>
    </row>
    <row r="1423" spans="1:1" x14ac:dyDescent="0.3">
      <c r="A1423" s="12"/>
    </row>
    <row r="1424" spans="1:1" x14ac:dyDescent="0.3">
      <c r="A1424" s="12"/>
    </row>
    <row r="1425" spans="1:1" x14ac:dyDescent="0.3">
      <c r="A1425" s="12"/>
    </row>
    <row r="1426" spans="1:1" x14ac:dyDescent="0.3">
      <c r="A1426" s="12"/>
    </row>
    <row r="1427" spans="1:1" x14ac:dyDescent="0.3">
      <c r="A1427" s="12"/>
    </row>
    <row r="1428" spans="1:1" x14ac:dyDescent="0.3">
      <c r="A1428" s="12"/>
    </row>
    <row r="1429" spans="1:1" x14ac:dyDescent="0.3">
      <c r="A1429" s="12"/>
    </row>
    <row r="1430" spans="1:1" x14ac:dyDescent="0.3">
      <c r="A1430" s="12"/>
    </row>
    <row r="1431" spans="1:1" x14ac:dyDescent="0.3">
      <c r="A1431" s="12"/>
    </row>
    <row r="1432" spans="1:1" x14ac:dyDescent="0.3">
      <c r="A1432" s="12"/>
    </row>
    <row r="1433" spans="1:1" x14ac:dyDescent="0.3">
      <c r="A1433" s="12"/>
    </row>
    <row r="1434" spans="1:1" x14ac:dyDescent="0.3">
      <c r="A1434" s="12"/>
    </row>
    <row r="1435" spans="1:1" x14ac:dyDescent="0.3">
      <c r="A1435" s="12"/>
    </row>
    <row r="1436" spans="1:1" x14ac:dyDescent="0.3">
      <c r="A1436" s="12"/>
    </row>
    <row r="1437" spans="1:1" x14ac:dyDescent="0.3">
      <c r="A1437" s="12"/>
    </row>
    <row r="1438" spans="1:1" x14ac:dyDescent="0.3">
      <c r="A1438" s="12"/>
    </row>
    <row r="1439" spans="1:1" x14ac:dyDescent="0.3">
      <c r="A1439" s="12"/>
    </row>
    <row r="1440" spans="1:1" x14ac:dyDescent="0.3">
      <c r="A1440" s="12"/>
    </row>
    <row r="1441" spans="1:1" x14ac:dyDescent="0.3">
      <c r="A1441" s="12"/>
    </row>
    <row r="1442" spans="1:1" x14ac:dyDescent="0.3">
      <c r="A1442" s="12"/>
    </row>
    <row r="1443" spans="1:1" x14ac:dyDescent="0.3">
      <c r="A1443" s="12"/>
    </row>
    <row r="1444" spans="1:1" x14ac:dyDescent="0.3">
      <c r="A1444" s="12"/>
    </row>
    <row r="1445" spans="1:1" x14ac:dyDescent="0.3">
      <c r="A1445" s="12"/>
    </row>
    <row r="1446" spans="1:1" x14ac:dyDescent="0.3">
      <c r="A1446" s="12"/>
    </row>
    <row r="1447" spans="1:1" x14ac:dyDescent="0.3">
      <c r="A1447" s="12"/>
    </row>
    <row r="1448" spans="1:1" x14ac:dyDescent="0.3">
      <c r="A1448" s="12"/>
    </row>
    <row r="1449" spans="1:1" x14ac:dyDescent="0.3">
      <c r="A1449" s="12"/>
    </row>
    <row r="1450" spans="1:1" x14ac:dyDescent="0.3">
      <c r="A1450" s="12"/>
    </row>
    <row r="1451" spans="1:1" x14ac:dyDescent="0.3">
      <c r="A1451" s="12"/>
    </row>
    <row r="1452" spans="1:1" x14ac:dyDescent="0.3">
      <c r="A1452" s="12"/>
    </row>
    <row r="1453" spans="1:1" x14ac:dyDescent="0.3">
      <c r="A1453" s="12"/>
    </row>
    <row r="1454" spans="1:1" x14ac:dyDescent="0.3">
      <c r="A1454" s="12"/>
    </row>
    <row r="1455" spans="1:1" x14ac:dyDescent="0.3">
      <c r="A1455" s="12"/>
    </row>
    <row r="1456" spans="1:1" x14ac:dyDescent="0.3">
      <c r="A1456" s="12"/>
    </row>
    <row r="1457" spans="1:1" x14ac:dyDescent="0.3">
      <c r="A1457" s="12"/>
    </row>
    <row r="1458" spans="1:1" x14ac:dyDescent="0.3">
      <c r="A1458" s="12"/>
    </row>
    <row r="1459" spans="1:1" x14ac:dyDescent="0.3">
      <c r="A1459" s="12"/>
    </row>
    <row r="1460" spans="1:1" x14ac:dyDescent="0.3">
      <c r="A1460" s="12"/>
    </row>
    <row r="1461" spans="1:1" x14ac:dyDescent="0.3">
      <c r="A1461" s="12"/>
    </row>
    <row r="1462" spans="1:1" x14ac:dyDescent="0.3">
      <c r="A1462" s="12"/>
    </row>
    <row r="1463" spans="1:1" x14ac:dyDescent="0.3">
      <c r="A1463" s="12"/>
    </row>
    <row r="1464" spans="1:1" x14ac:dyDescent="0.3">
      <c r="A1464" s="12"/>
    </row>
    <row r="1465" spans="1:1" x14ac:dyDescent="0.3">
      <c r="A1465" s="12"/>
    </row>
    <row r="1466" spans="1:1" x14ac:dyDescent="0.3">
      <c r="A1466" s="12"/>
    </row>
    <row r="1467" spans="1:1" x14ac:dyDescent="0.3">
      <c r="A1467" s="12"/>
    </row>
    <row r="1468" spans="1:1" x14ac:dyDescent="0.3">
      <c r="A1468" s="12"/>
    </row>
    <row r="1469" spans="1:1" x14ac:dyDescent="0.3">
      <c r="A1469" s="12"/>
    </row>
    <row r="1470" spans="1:1" x14ac:dyDescent="0.3">
      <c r="A1470" s="12"/>
    </row>
    <row r="1471" spans="1:1" x14ac:dyDescent="0.3">
      <c r="A1471" s="12"/>
    </row>
    <row r="1472" spans="1:1" x14ac:dyDescent="0.3">
      <c r="A1472" s="12"/>
    </row>
    <row r="1473" spans="1:1" x14ac:dyDescent="0.3">
      <c r="A1473" s="12"/>
    </row>
    <row r="1474" spans="1:1" x14ac:dyDescent="0.3">
      <c r="A1474" s="12"/>
    </row>
    <row r="1475" spans="1:1" x14ac:dyDescent="0.3">
      <c r="A1475" s="12"/>
    </row>
    <row r="1476" spans="1:1" x14ac:dyDescent="0.3">
      <c r="A1476" s="12"/>
    </row>
    <row r="1477" spans="1:1" x14ac:dyDescent="0.3">
      <c r="A1477" s="12"/>
    </row>
    <row r="1478" spans="1:1" x14ac:dyDescent="0.3">
      <c r="A1478" s="12"/>
    </row>
    <row r="1479" spans="1:1" x14ac:dyDescent="0.3">
      <c r="A1479" s="12"/>
    </row>
    <row r="1480" spans="1:1" x14ac:dyDescent="0.3">
      <c r="A1480" s="12"/>
    </row>
    <row r="1481" spans="1:1" x14ac:dyDescent="0.3">
      <c r="A1481" s="12"/>
    </row>
    <row r="1482" spans="1:1" x14ac:dyDescent="0.3">
      <c r="A1482" s="12"/>
    </row>
    <row r="1483" spans="1:1" x14ac:dyDescent="0.3">
      <c r="A1483" s="12"/>
    </row>
    <row r="1484" spans="1:1" x14ac:dyDescent="0.3">
      <c r="A1484" s="12"/>
    </row>
    <row r="1485" spans="1:1" x14ac:dyDescent="0.3">
      <c r="A1485" s="12"/>
    </row>
    <row r="1486" spans="1:1" x14ac:dyDescent="0.3">
      <c r="A1486" s="12"/>
    </row>
    <row r="1487" spans="1:1" x14ac:dyDescent="0.3">
      <c r="A1487" s="12"/>
    </row>
    <row r="1488" spans="1:1" x14ac:dyDescent="0.3">
      <c r="A1488" s="12"/>
    </row>
    <row r="1489" spans="1:1" x14ac:dyDescent="0.3">
      <c r="A1489" s="12"/>
    </row>
    <row r="1490" spans="1:1" x14ac:dyDescent="0.3">
      <c r="A1490" s="12"/>
    </row>
    <row r="1491" spans="1:1" x14ac:dyDescent="0.3">
      <c r="A1491" s="12"/>
    </row>
    <row r="1492" spans="1:1" x14ac:dyDescent="0.3">
      <c r="A1492" s="12"/>
    </row>
    <row r="1493" spans="1:1" x14ac:dyDescent="0.3">
      <c r="A1493" s="12"/>
    </row>
    <row r="1494" spans="1:1" x14ac:dyDescent="0.3">
      <c r="A1494" s="12"/>
    </row>
    <row r="1495" spans="1:1" x14ac:dyDescent="0.3">
      <c r="A1495" s="12"/>
    </row>
    <row r="1496" spans="1:1" x14ac:dyDescent="0.3">
      <c r="A1496" s="12"/>
    </row>
    <row r="1497" spans="1:1" x14ac:dyDescent="0.3">
      <c r="A1497" s="12"/>
    </row>
    <row r="1498" spans="1:1" x14ac:dyDescent="0.3">
      <c r="A1498" s="12"/>
    </row>
    <row r="1499" spans="1:1" x14ac:dyDescent="0.3">
      <c r="A1499" s="12"/>
    </row>
    <row r="1500" spans="1:1" x14ac:dyDescent="0.3">
      <c r="A1500" s="12"/>
    </row>
    <row r="1501" spans="1:1" x14ac:dyDescent="0.3">
      <c r="A1501" s="12"/>
    </row>
    <row r="1502" spans="1:1" x14ac:dyDescent="0.3">
      <c r="A1502" s="12"/>
    </row>
    <row r="1503" spans="1:1" x14ac:dyDescent="0.3">
      <c r="A1503" s="12"/>
    </row>
    <row r="1504" spans="1:1" x14ac:dyDescent="0.3">
      <c r="A1504" s="12"/>
    </row>
    <row r="1505" spans="1:1" x14ac:dyDescent="0.3">
      <c r="A1505" s="12"/>
    </row>
    <row r="1506" spans="1:1" x14ac:dyDescent="0.3">
      <c r="A1506" s="12"/>
    </row>
    <row r="1507" spans="1:1" x14ac:dyDescent="0.3">
      <c r="A1507" s="12"/>
    </row>
    <row r="1508" spans="1:1" x14ac:dyDescent="0.3">
      <c r="A1508" s="12"/>
    </row>
    <row r="1509" spans="1:1" x14ac:dyDescent="0.3">
      <c r="A1509" s="12"/>
    </row>
    <row r="1510" spans="1:1" x14ac:dyDescent="0.3">
      <c r="A1510" s="12"/>
    </row>
    <row r="1511" spans="1:1" x14ac:dyDescent="0.3">
      <c r="A1511" s="12"/>
    </row>
    <row r="1512" spans="1:1" x14ac:dyDescent="0.3">
      <c r="A1512" s="12"/>
    </row>
    <row r="1513" spans="1:1" x14ac:dyDescent="0.3">
      <c r="A1513" s="12"/>
    </row>
    <row r="1514" spans="1:1" x14ac:dyDescent="0.3">
      <c r="A1514" s="12"/>
    </row>
    <row r="1515" spans="1:1" x14ac:dyDescent="0.3">
      <c r="A1515" s="12"/>
    </row>
    <row r="1516" spans="1:1" x14ac:dyDescent="0.3">
      <c r="A1516" s="12"/>
    </row>
    <row r="1517" spans="1:1" x14ac:dyDescent="0.3">
      <c r="A1517" s="12"/>
    </row>
    <row r="1518" spans="1:1" x14ac:dyDescent="0.3">
      <c r="A1518" s="12"/>
    </row>
    <row r="1519" spans="1:1" x14ac:dyDescent="0.3">
      <c r="A1519" s="12"/>
    </row>
    <row r="1520" spans="1:1" x14ac:dyDescent="0.3">
      <c r="A1520" s="12"/>
    </row>
    <row r="1521" spans="1:1" x14ac:dyDescent="0.3">
      <c r="A1521" s="12"/>
    </row>
    <row r="1522" spans="1:1" x14ac:dyDescent="0.3">
      <c r="A1522" s="12"/>
    </row>
    <row r="1523" spans="1:1" x14ac:dyDescent="0.3">
      <c r="A1523" s="12"/>
    </row>
    <row r="1524" spans="1:1" x14ac:dyDescent="0.3">
      <c r="A1524" s="12"/>
    </row>
    <row r="1525" spans="1:1" x14ac:dyDescent="0.3">
      <c r="A1525" s="12"/>
    </row>
    <row r="1526" spans="1:1" x14ac:dyDescent="0.3">
      <c r="A1526" s="12"/>
    </row>
    <row r="1527" spans="1:1" x14ac:dyDescent="0.3">
      <c r="A1527" s="12"/>
    </row>
    <row r="1528" spans="1:1" x14ac:dyDescent="0.3">
      <c r="A1528" s="12"/>
    </row>
    <row r="1529" spans="1:1" x14ac:dyDescent="0.3">
      <c r="A1529" s="12"/>
    </row>
    <row r="1530" spans="1:1" x14ac:dyDescent="0.3">
      <c r="A1530" s="12"/>
    </row>
    <row r="1531" spans="1:1" x14ac:dyDescent="0.3">
      <c r="A1531" s="12"/>
    </row>
    <row r="1532" spans="1:1" x14ac:dyDescent="0.3">
      <c r="A1532" s="12"/>
    </row>
    <row r="1533" spans="1:1" x14ac:dyDescent="0.3">
      <c r="A1533" s="12"/>
    </row>
    <row r="1534" spans="1:1" x14ac:dyDescent="0.3">
      <c r="A1534" s="12"/>
    </row>
    <row r="1535" spans="1:1" x14ac:dyDescent="0.3">
      <c r="A1535" s="12"/>
    </row>
    <row r="1536" spans="1:1" x14ac:dyDescent="0.3">
      <c r="A1536" s="12"/>
    </row>
    <row r="1537" spans="1:1" x14ac:dyDescent="0.3">
      <c r="A1537" s="12"/>
    </row>
    <row r="1538" spans="1:1" x14ac:dyDescent="0.3">
      <c r="A1538" s="12"/>
    </row>
    <row r="1539" spans="1:1" x14ac:dyDescent="0.3">
      <c r="A1539" s="12"/>
    </row>
    <row r="1540" spans="1:1" x14ac:dyDescent="0.3">
      <c r="A1540" s="12"/>
    </row>
    <row r="1541" spans="1:1" x14ac:dyDescent="0.3">
      <c r="A1541" s="12"/>
    </row>
    <row r="1542" spans="1:1" x14ac:dyDescent="0.3">
      <c r="A1542" s="12"/>
    </row>
    <row r="1543" spans="1:1" x14ac:dyDescent="0.3">
      <c r="A1543" s="12"/>
    </row>
    <row r="1544" spans="1:1" x14ac:dyDescent="0.3">
      <c r="A1544" s="12"/>
    </row>
    <row r="1545" spans="1:1" x14ac:dyDescent="0.3">
      <c r="A1545" s="12"/>
    </row>
    <row r="1546" spans="1:1" x14ac:dyDescent="0.3">
      <c r="A1546" s="12"/>
    </row>
    <row r="1547" spans="1:1" x14ac:dyDescent="0.3">
      <c r="A1547" s="12"/>
    </row>
    <row r="1548" spans="1:1" x14ac:dyDescent="0.3">
      <c r="A1548" s="12"/>
    </row>
    <row r="1549" spans="1:1" x14ac:dyDescent="0.3">
      <c r="A1549" s="12"/>
    </row>
    <row r="1550" spans="1:1" x14ac:dyDescent="0.3">
      <c r="A1550" s="12"/>
    </row>
    <row r="1551" spans="1:1" x14ac:dyDescent="0.3">
      <c r="A1551" s="12"/>
    </row>
    <row r="1552" spans="1:1" x14ac:dyDescent="0.3">
      <c r="A1552" s="12"/>
    </row>
    <row r="1553" spans="1:1" x14ac:dyDescent="0.3">
      <c r="A1553" s="12"/>
    </row>
    <row r="1554" spans="1:1" x14ac:dyDescent="0.3">
      <c r="A1554" s="12"/>
    </row>
    <row r="1555" spans="1:1" x14ac:dyDescent="0.3">
      <c r="A1555" s="12"/>
    </row>
    <row r="1556" spans="1:1" x14ac:dyDescent="0.3">
      <c r="A1556" s="12"/>
    </row>
    <row r="1557" spans="1:1" x14ac:dyDescent="0.3">
      <c r="A1557" s="12"/>
    </row>
    <row r="1558" spans="1:1" x14ac:dyDescent="0.3">
      <c r="A1558" s="12"/>
    </row>
    <row r="1559" spans="1:1" x14ac:dyDescent="0.3">
      <c r="A1559" s="12"/>
    </row>
    <row r="1560" spans="1:1" x14ac:dyDescent="0.3">
      <c r="A1560" s="12"/>
    </row>
    <row r="1561" spans="1:1" x14ac:dyDescent="0.3">
      <c r="A1561" s="12"/>
    </row>
    <row r="1562" spans="1:1" x14ac:dyDescent="0.3">
      <c r="A1562" s="12"/>
    </row>
    <row r="1563" spans="1:1" x14ac:dyDescent="0.3">
      <c r="A1563" s="12"/>
    </row>
    <row r="1564" spans="1:1" x14ac:dyDescent="0.3">
      <c r="A1564" s="12"/>
    </row>
    <row r="1565" spans="1:1" x14ac:dyDescent="0.3">
      <c r="A1565" s="12"/>
    </row>
    <row r="1566" spans="1:1" x14ac:dyDescent="0.3">
      <c r="A1566" s="12"/>
    </row>
    <row r="1567" spans="1:1" x14ac:dyDescent="0.3">
      <c r="A1567" s="12"/>
    </row>
    <row r="1568" spans="1:1" x14ac:dyDescent="0.3">
      <c r="A1568" s="12"/>
    </row>
    <row r="1569" spans="1:1" x14ac:dyDescent="0.3">
      <c r="A1569" s="12"/>
    </row>
    <row r="1570" spans="1:1" x14ac:dyDescent="0.3">
      <c r="A1570" s="12"/>
    </row>
    <row r="1571" spans="1:1" x14ac:dyDescent="0.3">
      <c r="A1571" s="12"/>
    </row>
    <row r="1572" spans="1:1" x14ac:dyDescent="0.3">
      <c r="A1572" s="12"/>
    </row>
    <row r="1573" spans="1:1" x14ac:dyDescent="0.3">
      <c r="A1573" s="12"/>
    </row>
    <row r="1574" spans="1:1" x14ac:dyDescent="0.3">
      <c r="A1574" s="12"/>
    </row>
    <row r="1575" spans="1:1" x14ac:dyDescent="0.3">
      <c r="A1575" s="12"/>
    </row>
    <row r="1576" spans="1:1" x14ac:dyDescent="0.3">
      <c r="A1576" s="12"/>
    </row>
    <row r="1577" spans="1:1" x14ac:dyDescent="0.3">
      <c r="A1577" s="12"/>
    </row>
    <row r="1578" spans="1:1" x14ac:dyDescent="0.3">
      <c r="A1578" s="12"/>
    </row>
    <row r="1579" spans="1:1" x14ac:dyDescent="0.3">
      <c r="A1579" s="12"/>
    </row>
    <row r="1580" spans="1:1" x14ac:dyDescent="0.3">
      <c r="A1580" s="12"/>
    </row>
    <row r="1581" spans="1:1" x14ac:dyDescent="0.3">
      <c r="A1581" s="12"/>
    </row>
    <row r="1582" spans="1:1" x14ac:dyDescent="0.3">
      <c r="A1582" s="12"/>
    </row>
    <row r="1583" spans="1:1" x14ac:dyDescent="0.3">
      <c r="A1583" s="12"/>
    </row>
    <row r="1584" spans="1:1" x14ac:dyDescent="0.3">
      <c r="A1584" s="12"/>
    </row>
    <row r="1585" spans="1:1" x14ac:dyDescent="0.3">
      <c r="A1585" s="12"/>
    </row>
    <row r="1586" spans="1:1" x14ac:dyDescent="0.3">
      <c r="A1586" s="12"/>
    </row>
    <row r="1587" spans="1:1" x14ac:dyDescent="0.3">
      <c r="A1587" s="12"/>
    </row>
    <row r="1588" spans="1:1" x14ac:dyDescent="0.3">
      <c r="A1588" s="12"/>
    </row>
    <row r="1589" spans="1:1" x14ac:dyDescent="0.3">
      <c r="A1589" s="12"/>
    </row>
    <row r="1590" spans="1:1" x14ac:dyDescent="0.3">
      <c r="A1590" s="12"/>
    </row>
    <row r="1591" spans="1:1" x14ac:dyDescent="0.3">
      <c r="A1591" s="12"/>
    </row>
    <row r="1592" spans="1:1" x14ac:dyDescent="0.3">
      <c r="A1592" s="12"/>
    </row>
    <row r="1593" spans="1:1" x14ac:dyDescent="0.3">
      <c r="A1593" s="12"/>
    </row>
    <row r="1594" spans="1:1" x14ac:dyDescent="0.3">
      <c r="A1594" s="12"/>
    </row>
    <row r="1595" spans="1:1" x14ac:dyDescent="0.3">
      <c r="A1595" s="12"/>
    </row>
    <row r="1596" spans="1:1" x14ac:dyDescent="0.3">
      <c r="A1596" s="12"/>
    </row>
    <row r="1597" spans="1:1" x14ac:dyDescent="0.3">
      <c r="A1597" s="12"/>
    </row>
    <row r="1598" spans="1:1" x14ac:dyDescent="0.3">
      <c r="A1598" s="12"/>
    </row>
    <row r="1599" spans="1:1" x14ac:dyDescent="0.3">
      <c r="A1599" s="12"/>
    </row>
    <row r="1600" spans="1:1" x14ac:dyDescent="0.3">
      <c r="A1600" s="12"/>
    </row>
    <row r="1601" spans="1:1" x14ac:dyDescent="0.3">
      <c r="A1601" s="12"/>
    </row>
    <row r="1602" spans="1:1" x14ac:dyDescent="0.3">
      <c r="A1602" s="12"/>
    </row>
    <row r="1603" spans="1:1" x14ac:dyDescent="0.3">
      <c r="A1603" s="12"/>
    </row>
    <row r="1604" spans="1:1" x14ac:dyDescent="0.3">
      <c r="A1604" s="12"/>
    </row>
    <row r="1605" spans="1:1" x14ac:dyDescent="0.3">
      <c r="A1605" s="12"/>
    </row>
    <row r="1606" spans="1:1" x14ac:dyDescent="0.3">
      <c r="A1606" s="12"/>
    </row>
    <row r="1607" spans="1:1" x14ac:dyDescent="0.3">
      <c r="A1607" s="12"/>
    </row>
    <row r="1608" spans="1:1" x14ac:dyDescent="0.3">
      <c r="A1608" s="12"/>
    </row>
    <row r="1609" spans="1:1" x14ac:dyDescent="0.3">
      <c r="A1609" s="12"/>
    </row>
    <row r="1610" spans="1:1" x14ac:dyDescent="0.3">
      <c r="A1610" s="12"/>
    </row>
    <row r="1611" spans="1:1" x14ac:dyDescent="0.3">
      <c r="A1611" s="12"/>
    </row>
    <row r="1612" spans="1:1" x14ac:dyDescent="0.3">
      <c r="A1612" s="12"/>
    </row>
    <row r="1613" spans="1:1" x14ac:dyDescent="0.3">
      <c r="A1613" s="12"/>
    </row>
    <row r="1614" spans="1:1" x14ac:dyDescent="0.3">
      <c r="A1614" s="12"/>
    </row>
    <row r="1615" spans="1:1" x14ac:dyDescent="0.3">
      <c r="A1615" s="12"/>
    </row>
    <row r="1616" spans="1:1" x14ac:dyDescent="0.3">
      <c r="A1616" s="12"/>
    </row>
    <row r="1617" spans="1:1" x14ac:dyDescent="0.3">
      <c r="A1617" s="12"/>
    </row>
    <row r="1618" spans="1:1" x14ac:dyDescent="0.3">
      <c r="A1618" s="12"/>
    </row>
    <row r="1619" spans="1:1" x14ac:dyDescent="0.3">
      <c r="A1619" s="12"/>
    </row>
    <row r="1620" spans="1:1" x14ac:dyDescent="0.3">
      <c r="A1620" s="12"/>
    </row>
    <row r="1621" spans="1:1" x14ac:dyDescent="0.3">
      <c r="A1621" s="12"/>
    </row>
    <row r="1622" spans="1:1" x14ac:dyDescent="0.3">
      <c r="A1622" s="12"/>
    </row>
    <row r="1623" spans="1:1" x14ac:dyDescent="0.3">
      <c r="A1623" s="12"/>
    </row>
    <row r="1624" spans="1:1" x14ac:dyDescent="0.3">
      <c r="A1624" s="12"/>
    </row>
    <row r="1625" spans="1:1" x14ac:dyDescent="0.3">
      <c r="A1625" s="12"/>
    </row>
    <row r="1626" spans="1:1" x14ac:dyDescent="0.3">
      <c r="A1626" s="12"/>
    </row>
    <row r="1627" spans="1:1" x14ac:dyDescent="0.3">
      <c r="A1627" s="12"/>
    </row>
    <row r="1628" spans="1:1" x14ac:dyDescent="0.3">
      <c r="A1628" s="12"/>
    </row>
    <row r="1629" spans="1:1" x14ac:dyDescent="0.3">
      <c r="A1629" s="12"/>
    </row>
    <row r="1630" spans="1:1" x14ac:dyDescent="0.3">
      <c r="A1630" s="12"/>
    </row>
    <row r="1631" spans="1:1" x14ac:dyDescent="0.3">
      <c r="A1631" s="12"/>
    </row>
    <row r="1632" spans="1:1" x14ac:dyDescent="0.3">
      <c r="A1632" s="12"/>
    </row>
    <row r="1633" spans="1:1" x14ac:dyDescent="0.3">
      <c r="A1633" s="12"/>
    </row>
    <row r="1634" spans="1:1" x14ac:dyDescent="0.3">
      <c r="A1634" s="12"/>
    </row>
    <row r="1635" spans="1:1" x14ac:dyDescent="0.3">
      <c r="A1635" s="12"/>
    </row>
    <row r="1636" spans="1:1" x14ac:dyDescent="0.3">
      <c r="A1636" s="12"/>
    </row>
    <row r="1637" spans="1:1" x14ac:dyDescent="0.3">
      <c r="A1637" s="12"/>
    </row>
    <row r="1638" spans="1:1" x14ac:dyDescent="0.3">
      <c r="A1638" s="12"/>
    </row>
    <row r="1639" spans="1:1" x14ac:dyDescent="0.3">
      <c r="A1639" s="12"/>
    </row>
    <row r="1640" spans="1:1" x14ac:dyDescent="0.3">
      <c r="A1640" s="12"/>
    </row>
    <row r="1641" spans="1:1" x14ac:dyDescent="0.3">
      <c r="A1641" s="12"/>
    </row>
    <row r="1642" spans="1:1" x14ac:dyDescent="0.3">
      <c r="A1642" s="12"/>
    </row>
    <row r="1643" spans="1:1" x14ac:dyDescent="0.3">
      <c r="A1643" s="12"/>
    </row>
    <row r="1644" spans="1:1" x14ac:dyDescent="0.3">
      <c r="A1644" s="12"/>
    </row>
    <row r="1645" spans="1:1" x14ac:dyDescent="0.3">
      <c r="A1645" s="12"/>
    </row>
    <row r="1646" spans="1:1" x14ac:dyDescent="0.3">
      <c r="A1646" s="12"/>
    </row>
    <row r="1647" spans="1:1" x14ac:dyDescent="0.3">
      <c r="A1647" s="12"/>
    </row>
    <row r="1648" spans="1:1" x14ac:dyDescent="0.3">
      <c r="A1648" s="12"/>
    </row>
    <row r="1649" spans="1:1" x14ac:dyDescent="0.3">
      <c r="A1649" s="12"/>
    </row>
    <row r="1650" spans="1:1" x14ac:dyDescent="0.3">
      <c r="A1650" s="12"/>
    </row>
    <row r="1651" spans="1:1" x14ac:dyDescent="0.3">
      <c r="A1651" s="12"/>
    </row>
    <row r="1652" spans="1:1" x14ac:dyDescent="0.3">
      <c r="A1652" s="12"/>
    </row>
    <row r="1653" spans="1:1" x14ac:dyDescent="0.3">
      <c r="A1653" s="12"/>
    </row>
    <row r="1654" spans="1:1" x14ac:dyDescent="0.3">
      <c r="A1654" s="12"/>
    </row>
    <row r="1655" spans="1:1" x14ac:dyDescent="0.3">
      <c r="A1655" s="12"/>
    </row>
    <row r="1656" spans="1:1" x14ac:dyDescent="0.3">
      <c r="A1656" s="12"/>
    </row>
    <row r="1657" spans="1:1" x14ac:dyDescent="0.3">
      <c r="A1657" s="12"/>
    </row>
    <row r="1658" spans="1:1" x14ac:dyDescent="0.3">
      <c r="A1658" s="12"/>
    </row>
    <row r="1659" spans="1:1" x14ac:dyDescent="0.3">
      <c r="A1659" s="12"/>
    </row>
    <row r="1660" spans="1:1" x14ac:dyDescent="0.3">
      <c r="A1660" s="12"/>
    </row>
    <row r="1661" spans="1:1" x14ac:dyDescent="0.3">
      <c r="A1661" s="12"/>
    </row>
    <row r="1662" spans="1:1" x14ac:dyDescent="0.3">
      <c r="A1662" s="12"/>
    </row>
    <row r="1663" spans="1:1" x14ac:dyDescent="0.3">
      <c r="A1663" s="12"/>
    </row>
    <row r="1664" spans="1:1" x14ac:dyDescent="0.3">
      <c r="A1664" s="12"/>
    </row>
    <row r="1665" spans="1:1" x14ac:dyDescent="0.3">
      <c r="A1665" s="12"/>
    </row>
    <row r="1666" spans="1:1" x14ac:dyDescent="0.3">
      <c r="A1666" s="12"/>
    </row>
    <row r="1667" spans="1:1" x14ac:dyDescent="0.3">
      <c r="A1667" s="12"/>
    </row>
    <row r="1668" spans="1:1" x14ac:dyDescent="0.3">
      <c r="A1668" s="12"/>
    </row>
    <row r="1669" spans="1:1" x14ac:dyDescent="0.3">
      <c r="A1669" s="12"/>
    </row>
    <row r="1670" spans="1:1" x14ac:dyDescent="0.3">
      <c r="A1670" s="12"/>
    </row>
    <row r="1671" spans="1:1" x14ac:dyDescent="0.3">
      <c r="A1671" s="12"/>
    </row>
    <row r="1672" spans="1:1" x14ac:dyDescent="0.3">
      <c r="A1672" s="12"/>
    </row>
    <row r="1673" spans="1:1" x14ac:dyDescent="0.3">
      <c r="A1673" s="12"/>
    </row>
    <row r="1674" spans="1:1" x14ac:dyDescent="0.3">
      <c r="A1674" s="12"/>
    </row>
    <row r="1675" spans="1:1" x14ac:dyDescent="0.3">
      <c r="A1675" s="12"/>
    </row>
    <row r="1676" spans="1:1" x14ac:dyDescent="0.3">
      <c r="A1676" s="12"/>
    </row>
    <row r="1677" spans="1:1" x14ac:dyDescent="0.3">
      <c r="A1677" s="12"/>
    </row>
    <row r="1678" spans="1:1" x14ac:dyDescent="0.3">
      <c r="A1678" s="12"/>
    </row>
    <row r="1679" spans="1:1" x14ac:dyDescent="0.3">
      <c r="A1679" s="12"/>
    </row>
    <row r="1680" spans="1:1" x14ac:dyDescent="0.3">
      <c r="A1680" s="12"/>
    </row>
    <row r="1681" spans="1:1" x14ac:dyDescent="0.3">
      <c r="A1681" s="12"/>
    </row>
    <row r="1682" spans="1:1" x14ac:dyDescent="0.3">
      <c r="A1682" s="12"/>
    </row>
    <row r="1683" spans="1:1" x14ac:dyDescent="0.3">
      <c r="A1683" s="12"/>
    </row>
    <row r="1684" spans="1:1" x14ac:dyDescent="0.3">
      <c r="A1684" s="12"/>
    </row>
    <row r="1685" spans="1:1" x14ac:dyDescent="0.3">
      <c r="A1685" s="12"/>
    </row>
    <row r="1686" spans="1:1" x14ac:dyDescent="0.3">
      <c r="A1686" s="12"/>
    </row>
    <row r="1687" spans="1:1" x14ac:dyDescent="0.3">
      <c r="A1687" s="12"/>
    </row>
    <row r="1688" spans="1:1" x14ac:dyDescent="0.3">
      <c r="A1688" s="12"/>
    </row>
    <row r="1689" spans="1:1" x14ac:dyDescent="0.3">
      <c r="A1689" s="12"/>
    </row>
    <row r="1690" spans="1:1" x14ac:dyDescent="0.3">
      <c r="A1690" s="12"/>
    </row>
    <row r="1691" spans="1:1" x14ac:dyDescent="0.3">
      <c r="A1691" s="12"/>
    </row>
    <row r="1692" spans="1:1" x14ac:dyDescent="0.3">
      <c r="A1692" s="12"/>
    </row>
    <row r="1693" spans="1:1" x14ac:dyDescent="0.3">
      <c r="A1693" s="12"/>
    </row>
    <row r="1694" spans="1:1" x14ac:dyDescent="0.3">
      <c r="A1694" s="12"/>
    </row>
    <row r="1695" spans="1:1" x14ac:dyDescent="0.3">
      <c r="A1695" s="12"/>
    </row>
    <row r="1696" spans="1:1" x14ac:dyDescent="0.3">
      <c r="A1696" s="12"/>
    </row>
    <row r="1697" spans="1:1" x14ac:dyDescent="0.3">
      <c r="A1697" s="12"/>
    </row>
    <row r="1698" spans="1:1" x14ac:dyDescent="0.3">
      <c r="A1698" s="12"/>
    </row>
    <row r="1699" spans="1:1" x14ac:dyDescent="0.3">
      <c r="A1699" s="12"/>
    </row>
    <row r="1700" spans="1:1" x14ac:dyDescent="0.3">
      <c r="A1700" s="12"/>
    </row>
    <row r="1701" spans="1:1" x14ac:dyDescent="0.3">
      <c r="A1701" s="12"/>
    </row>
    <row r="1702" spans="1:1" x14ac:dyDescent="0.3">
      <c r="A1702" s="12"/>
    </row>
    <row r="1703" spans="1:1" x14ac:dyDescent="0.3">
      <c r="A1703" s="12"/>
    </row>
    <row r="1704" spans="1:1" x14ac:dyDescent="0.3">
      <c r="A1704" s="12"/>
    </row>
    <row r="1705" spans="1:1" x14ac:dyDescent="0.3">
      <c r="A1705" s="12"/>
    </row>
    <row r="1706" spans="1:1" x14ac:dyDescent="0.3">
      <c r="A1706" s="12"/>
    </row>
    <row r="1707" spans="1:1" x14ac:dyDescent="0.3">
      <c r="A1707" s="12"/>
    </row>
    <row r="1708" spans="1:1" x14ac:dyDescent="0.3">
      <c r="A1708" s="12"/>
    </row>
    <row r="1709" spans="1:1" x14ac:dyDescent="0.3">
      <c r="A1709" s="12"/>
    </row>
    <row r="1710" spans="1:1" x14ac:dyDescent="0.3">
      <c r="A1710" s="12"/>
    </row>
    <row r="1711" spans="1:1" x14ac:dyDescent="0.3">
      <c r="A1711" s="12"/>
    </row>
    <row r="1712" spans="1:1" x14ac:dyDescent="0.3">
      <c r="A1712" s="12"/>
    </row>
    <row r="1713" spans="1:1" x14ac:dyDescent="0.3">
      <c r="A1713" s="12"/>
    </row>
    <row r="1714" spans="1:1" x14ac:dyDescent="0.3">
      <c r="A1714" s="12"/>
    </row>
    <row r="1715" spans="1:1" x14ac:dyDescent="0.3">
      <c r="A1715" s="12"/>
    </row>
    <row r="1716" spans="1:1" x14ac:dyDescent="0.3">
      <c r="A1716" s="12"/>
    </row>
    <row r="1717" spans="1:1" x14ac:dyDescent="0.3">
      <c r="A1717" s="12"/>
    </row>
    <row r="1718" spans="1:1" x14ac:dyDescent="0.3">
      <c r="A1718" s="12"/>
    </row>
    <row r="1719" spans="1:1" x14ac:dyDescent="0.3">
      <c r="A1719" s="12"/>
    </row>
    <row r="1720" spans="1:1" x14ac:dyDescent="0.3">
      <c r="A1720" s="12"/>
    </row>
    <row r="1721" spans="1:1" x14ac:dyDescent="0.3">
      <c r="A1721" s="12"/>
    </row>
    <row r="1722" spans="1:1" x14ac:dyDescent="0.3">
      <c r="A1722" s="12"/>
    </row>
    <row r="1723" spans="1:1" x14ac:dyDescent="0.3">
      <c r="A1723" s="12"/>
    </row>
    <row r="1724" spans="1:1" x14ac:dyDescent="0.3">
      <c r="A1724" s="12"/>
    </row>
    <row r="1725" spans="1:1" x14ac:dyDescent="0.3">
      <c r="A1725" s="12"/>
    </row>
    <row r="1726" spans="1:1" x14ac:dyDescent="0.3">
      <c r="A1726" s="12"/>
    </row>
    <row r="1727" spans="1:1" x14ac:dyDescent="0.3">
      <c r="A1727" s="12"/>
    </row>
    <row r="1728" spans="1:1" x14ac:dyDescent="0.3">
      <c r="A1728" s="12"/>
    </row>
    <row r="1729" spans="1:1" x14ac:dyDescent="0.3">
      <c r="A1729" s="12"/>
    </row>
    <row r="1730" spans="1:1" x14ac:dyDescent="0.3">
      <c r="A1730" s="12"/>
    </row>
    <row r="1731" spans="1:1" x14ac:dyDescent="0.3">
      <c r="A1731" s="12"/>
    </row>
    <row r="1732" spans="1:1" x14ac:dyDescent="0.3">
      <c r="A1732" s="12"/>
    </row>
    <row r="1733" spans="1:1" x14ac:dyDescent="0.3">
      <c r="A1733" s="12"/>
    </row>
    <row r="1734" spans="1:1" x14ac:dyDescent="0.3">
      <c r="A1734" s="12"/>
    </row>
    <row r="1735" spans="1:1" x14ac:dyDescent="0.3">
      <c r="A1735" s="12"/>
    </row>
    <row r="1736" spans="1:1" x14ac:dyDescent="0.3">
      <c r="A1736" s="12"/>
    </row>
    <row r="1737" spans="1:1" x14ac:dyDescent="0.3">
      <c r="A1737" s="12"/>
    </row>
    <row r="1738" spans="1:1" x14ac:dyDescent="0.3">
      <c r="A1738" s="12"/>
    </row>
    <row r="1739" spans="1:1" x14ac:dyDescent="0.3">
      <c r="A1739" s="12"/>
    </row>
    <row r="1740" spans="1:1" x14ac:dyDescent="0.3">
      <c r="A1740" s="12"/>
    </row>
    <row r="1741" spans="1:1" x14ac:dyDescent="0.3">
      <c r="A1741" s="12"/>
    </row>
    <row r="1742" spans="1:1" x14ac:dyDescent="0.3">
      <c r="A1742" s="12"/>
    </row>
    <row r="1743" spans="1:1" x14ac:dyDescent="0.3">
      <c r="A1743" s="12"/>
    </row>
    <row r="1744" spans="1:1" x14ac:dyDescent="0.3">
      <c r="A1744" s="12"/>
    </row>
    <row r="1745" spans="1:1" x14ac:dyDescent="0.3">
      <c r="A1745" s="12"/>
    </row>
    <row r="1746" spans="1:1" x14ac:dyDescent="0.3">
      <c r="A1746" s="12"/>
    </row>
    <row r="1747" spans="1:1" x14ac:dyDescent="0.3">
      <c r="A1747" s="12"/>
    </row>
    <row r="1748" spans="1:1" x14ac:dyDescent="0.3">
      <c r="A1748" s="12"/>
    </row>
    <row r="1749" spans="1:1" x14ac:dyDescent="0.3">
      <c r="A1749" s="12"/>
    </row>
    <row r="1750" spans="1:1" x14ac:dyDescent="0.3">
      <c r="A1750" s="12"/>
    </row>
    <row r="1751" spans="1:1" x14ac:dyDescent="0.3">
      <c r="A1751" s="12"/>
    </row>
    <row r="1752" spans="1:1" x14ac:dyDescent="0.3">
      <c r="A1752" s="12"/>
    </row>
    <row r="1753" spans="1:1" x14ac:dyDescent="0.3">
      <c r="A1753" s="12"/>
    </row>
    <row r="1754" spans="1:1" x14ac:dyDescent="0.3">
      <c r="A1754" s="12"/>
    </row>
    <row r="1755" spans="1:1" x14ac:dyDescent="0.3">
      <c r="A1755" s="12"/>
    </row>
    <row r="1756" spans="1:1" x14ac:dyDescent="0.3">
      <c r="A1756" s="12"/>
    </row>
    <row r="1757" spans="1:1" x14ac:dyDescent="0.3">
      <c r="A1757" s="12"/>
    </row>
    <row r="1758" spans="1:1" x14ac:dyDescent="0.3">
      <c r="A1758" s="12"/>
    </row>
    <row r="1759" spans="1:1" x14ac:dyDescent="0.3">
      <c r="A1759" s="12"/>
    </row>
    <row r="1760" spans="1:1" x14ac:dyDescent="0.3">
      <c r="A1760" s="12"/>
    </row>
    <row r="1761" spans="1:1" x14ac:dyDescent="0.3">
      <c r="A1761" s="12"/>
    </row>
    <row r="1762" spans="1:1" x14ac:dyDescent="0.3">
      <c r="A1762" s="12"/>
    </row>
    <row r="1763" spans="1:1" x14ac:dyDescent="0.3">
      <c r="A1763" s="12"/>
    </row>
    <row r="1764" spans="1:1" x14ac:dyDescent="0.3">
      <c r="A1764" s="12"/>
    </row>
    <row r="1765" spans="1:1" x14ac:dyDescent="0.3">
      <c r="A1765" s="12"/>
    </row>
    <row r="1766" spans="1:1" x14ac:dyDescent="0.3">
      <c r="A1766" s="12"/>
    </row>
    <row r="1767" spans="1:1" x14ac:dyDescent="0.3">
      <c r="A1767" s="12"/>
    </row>
    <row r="1768" spans="1:1" x14ac:dyDescent="0.3">
      <c r="A1768" s="12"/>
    </row>
    <row r="1769" spans="1:1" x14ac:dyDescent="0.3">
      <c r="A1769" s="12"/>
    </row>
    <row r="1770" spans="1:1" x14ac:dyDescent="0.3">
      <c r="A1770" s="12"/>
    </row>
    <row r="1771" spans="1:1" x14ac:dyDescent="0.3">
      <c r="A1771" s="12"/>
    </row>
    <row r="1772" spans="1:1" x14ac:dyDescent="0.3">
      <c r="A1772" s="12"/>
    </row>
    <row r="1773" spans="1:1" x14ac:dyDescent="0.3">
      <c r="A1773" s="12"/>
    </row>
    <row r="1774" spans="1:1" x14ac:dyDescent="0.3">
      <c r="A1774" s="12"/>
    </row>
    <row r="1775" spans="1:1" x14ac:dyDescent="0.3">
      <c r="A1775" s="12"/>
    </row>
    <row r="1776" spans="1:1" x14ac:dyDescent="0.3">
      <c r="A1776" s="12"/>
    </row>
    <row r="1777" spans="1:1" x14ac:dyDescent="0.3">
      <c r="A1777" s="12"/>
    </row>
    <row r="1778" spans="1:1" x14ac:dyDescent="0.3">
      <c r="A1778" s="12"/>
    </row>
    <row r="1779" spans="1:1" x14ac:dyDescent="0.3">
      <c r="A1779" s="12"/>
    </row>
    <row r="1780" spans="1:1" x14ac:dyDescent="0.3">
      <c r="A1780" s="12"/>
    </row>
    <row r="1781" spans="1:1" x14ac:dyDescent="0.3">
      <c r="A1781" s="12"/>
    </row>
    <row r="1782" spans="1:1" x14ac:dyDescent="0.3">
      <c r="A1782" s="12"/>
    </row>
    <row r="1783" spans="1:1" x14ac:dyDescent="0.3">
      <c r="A1783" s="12"/>
    </row>
    <row r="1784" spans="1:1" x14ac:dyDescent="0.3">
      <c r="A1784" s="12"/>
    </row>
    <row r="1785" spans="1:1" x14ac:dyDescent="0.3">
      <c r="A1785" s="12"/>
    </row>
    <row r="1786" spans="1:1" x14ac:dyDescent="0.3">
      <c r="A1786" s="12"/>
    </row>
    <row r="1787" spans="1:1" x14ac:dyDescent="0.3">
      <c r="A1787" s="12"/>
    </row>
    <row r="1788" spans="1:1" x14ac:dyDescent="0.3">
      <c r="A1788" s="12"/>
    </row>
    <row r="1789" spans="1:1" x14ac:dyDescent="0.3">
      <c r="A1789" s="12"/>
    </row>
    <row r="1790" spans="1:1" x14ac:dyDescent="0.3">
      <c r="A1790" s="12"/>
    </row>
    <row r="1791" spans="1:1" x14ac:dyDescent="0.3">
      <c r="A1791" s="12"/>
    </row>
    <row r="1792" spans="1:1" x14ac:dyDescent="0.3">
      <c r="A1792" s="12"/>
    </row>
    <row r="1793" spans="1:1" x14ac:dyDescent="0.3">
      <c r="A1793" s="12"/>
    </row>
    <row r="1794" spans="1:1" x14ac:dyDescent="0.3">
      <c r="A1794" s="12"/>
    </row>
    <row r="1795" spans="1:1" x14ac:dyDescent="0.3">
      <c r="A1795" s="12"/>
    </row>
    <row r="1796" spans="1:1" x14ac:dyDescent="0.3">
      <c r="A1796" s="12"/>
    </row>
    <row r="1797" spans="1:1" x14ac:dyDescent="0.3">
      <c r="A1797" s="12"/>
    </row>
    <row r="1798" spans="1:1" x14ac:dyDescent="0.3">
      <c r="A1798" s="12"/>
    </row>
    <row r="1799" spans="1:1" x14ac:dyDescent="0.3">
      <c r="A1799" s="12"/>
    </row>
    <row r="1800" spans="1:1" x14ac:dyDescent="0.3">
      <c r="A1800" s="12"/>
    </row>
    <row r="1801" spans="1:1" x14ac:dyDescent="0.3">
      <c r="A1801" s="12"/>
    </row>
    <row r="1802" spans="1:1" x14ac:dyDescent="0.3">
      <c r="A1802" s="12"/>
    </row>
    <row r="1803" spans="1:1" x14ac:dyDescent="0.3">
      <c r="A1803" s="12"/>
    </row>
    <row r="1804" spans="1:1" x14ac:dyDescent="0.3">
      <c r="A1804" s="12"/>
    </row>
    <row r="1805" spans="1:1" x14ac:dyDescent="0.3">
      <c r="A1805" s="12"/>
    </row>
    <row r="1806" spans="1:1" x14ac:dyDescent="0.3">
      <c r="A1806" s="12"/>
    </row>
    <row r="1807" spans="1:1" x14ac:dyDescent="0.3">
      <c r="A1807" s="12"/>
    </row>
    <row r="1808" spans="1:1" x14ac:dyDescent="0.3">
      <c r="A1808" s="12"/>
    </row>
    <row r="1809" spans="1:1" x14ac:dyDescent="0.3">
      <c r="A1809" s="12"/>
    </row>
    <row r="1810" spans="1:1" x14ac:dyDescent="0.3">
      <c r="A1810" s="12"/>
    </row>
    <row r="1811" spans="1:1" x14ac:dyDescent="0.3">
      <c r="A1811" s="12"/>
    </row>
    <row r="1812" spans="1:1" x14ac:dyDescent="0.3">
      <c r="A1812" s="12"/>
    </row>
    <row r="1813" spans="1:1" x14ac:dyDescent="0.3">
      <c r="A1813" s="12"/>
    </row>
    <row r="1814" spans="1:1" x14ac:dyDescent="0.3">
      <c r="A1814" s="12"/>
    </row>
    <row r="1815" spans="1:1" x14ac:dyDescent="0.3">
      <c r="A1815" s="12"/>
    </row>
    <row r="1816" spans="1:1" x14ac:dyDescent="0.3">
      <c r="A1816" s="12"/>
    </row>
    <row r="1817" spans="1:1" x14ac:dyDescent="0.3">
      <c r="A1817" s="12"/>
    </row>
    <row r="1818" spans="1:1" x14ac:dyDescent="0.3">
      <c r="A1818" s="12"/>
    </row>
    <row r="1819" spans="1:1" x14ac:dyDescent="0.3">
      <c r="A1819" s="12"/>
    </row>
    <row r="1820" spans="1:1" x14ac:dyDescent="0.3">
      <c r="A1820" s="12"/>
    </row>
    <row r="1821" spans="1:1" x14ac:dyDescent="0.3">
      <c r="A1821" s="12"/>
    </row>
    <row r="1822" spans="1:1" x14ac:dyDescent="0.3">
      <c r="A1822" s="12"/>
    </row>
    <row r="1823" spans="1:1" x14ac:dyDescent="0.3">
      <c r="A1823" s="12"/>
    </row>
    <row r="1824" spans="1:1" x14ac:dyDescent="0.3">
      <c r="A1824" s="12"/>
    </row>
    <row r="1825" spans="1:1" x14ac:dyDescent="0.3">
      <c r="A1825" s="12"/>
    </row>
    <row r="1826" spans="1:1" x14ac:dyDescent="0.3">
      <c r="A1826" s="12"/>
    </row>
    <row r="1827" spans="1:1" x14ac:dyDescent="0.3">
      <c r="A1827" s="12"/>
    </row>
    <row r="1828" spans="1:1" x14ac:dyDescent="0.3">
      <c r="A1828" s="12"/>
    </row>
    <row r="1829" spans="1:1" x14ac:dyDescent="0.3">
      <c r="A1829" s="12"/>
    </row>
    <row r="1830" spans="1:1" x14ac:dyDescent="0.3">
      <c r="A1830" s="12"/>
    </row>
    <row r="1831" spans="1:1" x14ac:dyDescent="0.3">
      <c r="A1831" s="12"/>
    </row>
    <row r="1832" spans="1:1" x14ac:dyDescent="0.3">
      <c r="A1832" s="12"/>
    </row>
    <row r="1833" spans="1:1" x14ac:dyDescent="0.3">
      <c r="A1833" s="12"/>
    </row>
    <row r="1834" spans="1:1" x14ac:dyDescent="0.3">
      <c r="A1834" s="12"/>
    </row>
    <row r="1835" spans="1:1" x14ac:dyDescent="0.3">
      <c r="A1835" s="12"/>
    </row>
    <row r="1836" spans="1:1" x14ac:dyDescent="0.3">
      <c r="A1836" s="12"/>
    </row>
    <row r="1837" spans="1:1" x14ac:dyDescent="0.3">
      <c r="A1837" s="12"/>
    </row>
    <row r="1838" spans="1:1" x14ac:dyDescent="0.3">
      <c r="A1838" s="12"/>
    </row>
    <row r="1839" spans="1:1" x14ac:dyDescent="0.3">
      <c r="A1839" s="12"/>
    </row>
    <row r="1840" spans="1:1" x14ac:dyDescent="0.3">
      <c r="A1840" s="12"/>
    </row>
    <row r="1841" spans="1:1" x14ac:dyDescent="0.3">
      <c r="A1841" s="12"/>
    </row>
    <row r="1842" spans="1:1" x14ac:dyDescent="0.3">
      <c r="A1842" s="12"/>
    </row>
    <row r="1843" spans="1:1" x14ac:dyDescent="0.3">
      <c r="A1843" s="12"/>
    </row>
    <row r="1844" spans="1:1" x14ac:dyDescent="0.3">
      <c r="A1844" s="12"/>
    </row>
    <row r="1845" spans="1:1" x14ac:dyDescent="0.3">
      <c r="A1845" s="12"/>
    </row>
    <row r="1846" spans="1:1" x14ac:dyDescent="0.3">
      <c r="A1846" s="12"/>
    </row>
    <row r="1847" spans="1:1" x14ac:dyDescent="0.3">
      <c r="A1847" s="12"/>
    </row>
    <row r="1848" spans="1:1" x14ac:dyDescent="0.3">
      <c r="A1848" s="12"/>
    </row>
    <row r="1849" spans="1:1" x14ac:dyDescent="0.3">
      <c r="A1849" s="12"/>
    </row>
    <row r="1850" spans="1:1" x14ac:dyDescent="0.3">
      <c r="A1850" s="12"/>
    </row>
    <row r="1851" spans="1:1" x14ac:dyDescent="0.3">
      <c r="A1851" s="12"/>
    </row>
    <row r="1852" spans="1:1" x14ac:dyDescent="0.3">
      <c r="A1852" s="12"/>
    </row>
    <row r="1853" spans="1:1" x14ac:dyDescent="0.3">
      <c r="A1853" s="12"/>
    </row>
    <row r="1854" spans="1:1" x14ac:dyDescent="0.3">
      <c r="A1854" s="12"/>
    </row>
    <row r="1855" spans="1:1" x14ac:dyDescent="0.3">
      <c r="A1855" s="12"/>
    </row>
    <row r="1856" spans="1:1" x14ac:dyDescent="0.3">
      <c r="A1856" s="12"/>
    </row>
    <row r="1857" spans="1:1" x14ac:dyDescent="0.3">
      <c r="A1857" s="12"/>
    </row>
    <row r="1858" spans="1:1" x14ac:dyDescent="0.3">
      <c r="A1858" s="12"/>
    </row>
    <row r="1859" spans="1:1" x14ac:dyDescent="0.3">
      <c r="A1859" s="12"/>
    </row>
    <row r="1860" spans="1:1" x14ac:dyDescent="0.3">
      <c r="A1860" s="12"/>
    </row>
    <row r="1861" spans="1:1" x14ac:dyDescent="0.3">
      <c r="A1861" s="12"/>
    </row>
    <row r="1862" spans="1:1" x14ac:dyDescent="0.3">
      <c r="A1862" s="12"/>
    </row>
    <row r="1863" spans="1:1" x14ac:dyDescent="0.3">
      <c r="A1863" s="12"/>
    </row>
    <row r="1864" spans="1:1" x14ac:dyDescent="0.3">
      <c r="A1864" s="12"/>
    </row>
    <row r="1865" spans="1:1" x14ac:dyDescent="0.3">
      <c r="A1865" s="12"/>
    </row>
    <row r="1866" spans="1:1" x14ac:dyDescent="0.3">
      <c r="A1866" s="12"/>
    </row>
    <row r="1867" spans="1:1" x14ac:dyDescent="0.3">
      <c r="A1867" s="12"/>
    </row>
    <row r="1868" spans="1:1" x14ac:dyDescent="0.3">
      <c r="A1868" s="12"/>
    </row>
    <row r="1869" spans="1:1" x14ac:dyDescent="0.3">
      <c r="A1869" s="12"/>
    </row>
    <row r="1870" spans="1:1" x14ac:dyDescent="0.3">
      <c r="A1870" s="12"/>
    </row>
    <row r="1871" spans="1:1" x14ac:dyDescent="0.3">
      <c r="A1871" s="12"/>
    </row>
    <row r="1872" spans="1:1" x14ac:dyDescent="0.3">
      <c r="A1872" s="12"/>
    </row>
    <row r="1873" spans="1:1" x14ac:dyDescent="0.3">
      <c r="A1873" s="12"/>
    </row>
    <row r="1874" spans="1:1" x14ac:dyDescent="0.3">
      <c r="A1874" s="12"/>
    </row>
    <row r="1875" spans="1:1" x14ac:dyDescent="0.3">
      <c r="A1875" s="12"/>
    </row>
    <row r="1876" spans="1:1" x14ac:dyDescent="0.3">
      <c r="A1876" s="12"/>
    </row>
    <row r="1877" spans="1:1" x14ac:dyDescent="0.3">
      <c r="A1877" s="12"/>
    </row>
    <row r="1878" spans="1:1" x14ac:dyDescent="0.3">
      <c r="A1878" s="12"/>
    </row>
    <row r="1879" spans="1:1" x14ac:dyDescent="0.3">
      <c r="A1879" s="12"/>
    </row>
    <row r="1880" spans="1:1" x14ac:dyDescent="0.3">
      <c r="A1880" s="12"/>
    </row>
    <row r="1881" spans="1:1" x14ac:dyDescent="0.3">
      <c r="A1881" s="12"/>
    </row>
    <row r="1882" spans="1:1" x14ac:dyDescent="0.3">
      <c r="A1882" s="12"/>
    </row>
    <row r="1883" spans="1:1" x14ac:dyDescent="0.3">
      <c r="A1883" s="12"/>
    </row>
    <row r="1884" spans="1:1" x14ac:dyDescent="0.3">
      <c r="A1884" s="12"/>
    </row>
    <row r="1885" spans="1:1" x14ac:dyDescent="0.3">
      <c r="A1885" s="12"/>
    </row>
    <row r="1886" spans="1:1" x14ac:dyDescent="0.3">
      <c r="A1886" s="12"/>
    </row>
    <row r="1887" spans="1:1" x14ac:dyDescent="0.3">
      <c r="A1887" s="12"/>
    </row>
    <row r="1888" spans="1:1" x14ac:dyDescent="0.3">
      <c r="A1888" s="12"/>
    </row>
    <row r="1889" spans="1:1" x14ac:dyDescent="0.3">
      <c r="A1889" s="12"/>
    </row>
    <row r="1890" spans="1:1" x14ac:dyDescent="0.3">
      <c r="A1890" s="12"/>
    </row>
    <row r="1891" spans="1:1" x14ac:dyDescent="0.3">
      <c r="A1891" s="12"/>
    </row>
    <row r="1892" spans="1:1" x14ac:dyDescent="0.3">
      <c r="A1892" s="12"/>
    </row>
    <row r="1893" spans="1:1" x14ac:dyDescent="0.3">
      <c r="A1893" s="12"/>
    </row>
    <row r="1894" spans="1:1" x14ac:dyDescent="0.3">
      <c r="A1894" s="12"/>
    </row>
    <row r="1895" spans="1:1" x14ac:dyDescent="0.3">
      <c r="A1895" s="12"/>
    </row>
    <row r="1896" spans="1:1" x14ac:dyDescent="0.3">
      <c r="A1896" s="12"/>
    </row>
    <row r="1897" spans="1:1" x14ac:dyDescent="0.3">
      <c r="A1897" s="12"/>
    </row>
    <row r="1898" spans="1:1" x14ac:dyDescent="0.3">
      <c r="A1898" s="12"/>
    </row>
    <row r="1899" spans="1:1" x14ac:dyDescent="0.3">
      <c r="A1899" s="12"/>
    </row>
    <row r="1900" spans="1:1" x14ac:dyDescent="0.3">
      <c r="A1900" s="12"/>
    </row>
    <row r="1901" spans="1:1" x14ac:dyDescent="0.3">
      <c r="A1901" s="12"/>
    </row>
    <row r="1902" spans="1:1" x14ac:dyDescent="0.3">
      <c r="A1902" s="12"/>
    </row>
    <row r="1903" spans="1:1" x14ac:dyDescent="0.3">
      <c r="A1903" s="12"/>
    </row>
    <row r="1904" spans="1:1" x14ac:dyDescent="0.3">
      <c r="A1904" s="12"/>
    </row>
    <row r="1905" spans="1:1" x14ac:dyDescent="0.3">
      <c r="A1905" s="12"/>
    </row>
    <row r="1906" spans="1:1" x14ac:dyDescent="0.3">
      <c r="A1906" s="12"/>
    </row>
    <row r="1907" spans="1:1" x14ac:dyDescent="0.3">
      <c r="A1907" s="12"/>
    </row>
    <row r="1908" spans="1:1" x14ac:dyDescent="0.3">
      <c r="A1908" s="12"/>
    </row>
    <row r="1909" spans="1:1" x14ac:dyDescent="0.3">
      <c r="A1909" s="12"/>
    </row>
    <row r="1910" spans="1:1" x14ac:dyDescent="0.3">
      <c r="A1910" s="12"/>
    </row>
    <row r="1911" spans="1:1" x14ac:dyDescent="0.3">
      <c r="A1911" s="12"/>
    </row>
    <row r="1912" spans="1:1" x14ac:dyDescent="0.3">
      <c r="A1912" s="12"/>
    </row>
    <row r="1913" spans="1:1" x14ac:dyDescent="0.3">
      <c r="A1913" s="12"/>
    </row>
    <row r="1914" spans="1:1" x14ac:dyDescent="0.3">
      <c r="A1914" s="12"/>
    </row>
    <row r="1915" spans="1:1" x14ac:dyDescent="0.3">
      <c r="A1915" s="12"/>
    </row>
    <row r="1916" spans="1:1" x14ac:dyDescent="0.3">
      <c r="A1916" s="12"/>
    </row>
    <row r="1917" spans="1:1" x14ac:dyDescent="0.3">
      <c r="A1917" s="12"/>
    </row>
    <row r="1918" spans="1:1" x14ac:dyDescent="0.3">
      <c r="A1918" s="12"/>
    </row>
    <row r="1919" spans="1:1" x14ac:dyDescent="0.3">
      <c r="A1919" s="12"/>
    </row>
    <row r="1920" spans="1:1" x14ac:dyDescent="0.3">
      <c r="A1920" s="12"/>
    </row>
    <row r="1921" spans="1:1" x14ac:dyDescent="0.3">
      <c r="A1921" s="12"/>
    </row>
    <row r="1922" spans="1:1" x14ac:dyDescent="0.3">
      <c r="A1922" s="12"/>
    </row>
    <row r="1923" spans="1:1" x14ac:dyDescent="0.3">
      <c r="A1923" s="12"/>
    </row>
    <row r="1924" spans="1:1" x14ac:dyDescent="0.3">
      <c r="A1924" s="12"/>
    </row>
    <row r="1925" spans="1:1" x14ac:dyDescent="0.3">
      <c r="A1925" s="12"/>
    </row>
    <row r="1926" spans="1:1" x14ac:dyDescent="0.3">
      <c r="A1926" s="12"/>
    </row>
    <row r="1927" spans="1:1" x14ac:dyDescent="0.3">
      <c r="A1927" s="12"/>
    </row>
    <row r="1928" spans="1:1" x14ac:dyDescent="0.3">
      <c r="A1928" s="12"/>
    </row>
    <row r="1929" spans="1:1" x14ac:dyDescent="0.3">
      <c r="A1929" s="12"/>
    </row>
    <row r="1930" spans="1:1" x14ac:dyDescent="0.3">
      <c r="A1930" s="12"/>
    </row>
    <row r="1931" spans="1:1" x14ac:dyDescent="0.3">
      <c r="A1931" s="12"/>
    </row>
    <row r="1932" spans="1:1" x14ac:dyDescent="0.3">
      <c r="A1932" s="12"/>
    </row>
    <row r="1933" spans="1:1" x14ac:dyDescent="0.3">
      <c r="A1933" s="12"/>
    </row>
    <row r="1934" spans="1:1" x14ac:dyDescent="0.3">
      <c r="A1934" s="12"/>
    </row>
    <row r="1935" spans="1:1" x14ac:dyDescent="0.3">
      <c r="A1935" s="12"/>
    </row>
    <row r="1936" spans="1:1" x14ac:dyDescent="0.3">
      <c r="A1936" s="12"/>
    </row>
    <row r="1937" spans="1:1" x14ac:dyDescent="0.3">
      <c r="A1937" s="12"/>
    </row>
    <row r="1938" spans="1:1" x14ac:dyDescent="0.3">
      <c r="A1938" s="12"/>
    </row>
    <row r="1939" spans="1:1" x14ac:dyDescent="0.3">
      <c r="A1939" s="12"/>
    </row>
    <row r="1940" spans="1:1" x14ac:dyDescent="0.3">
      <c r="A1940" s="12"/>
    </row>
    <row r="1941" spans="1:1" x14ac:dyDescent="0.3">
      <c r="A1941" s="12"/>
    </row>
    <row r="1942" spans="1:1" x14ac:dyDescent="0.3">
      <c r="A1942" s="12"/>
    </row>
    <row r="1943" spans="1:1" x14ac:dyDescent="0.3">
      <c r="A1943" s="12"/>
    </row>
    <row r="1944" spans="1:1" x14ac:dyDescent="0.3">
      <c r="A1944" s="12"/>
    </row>
    <row r="1945" spans="1:1" x14ac:dyDescent="0.3">
      <c r="A1945" s="12"/>
    </row>
    <row r="1946" spans="1:1" x14ac:dyDescent="0.3">
      <c r="A1946" s="12"/>
    </row>
    <row r="1947" spans="1:1" x14ac:dyDescent="0.3">
      <c r="A1947" s="12"/>
    </row>
    <row r="1948" spans="1:1" x14ac:dyDescent="0.3">
      <c r="A1948" s="12"/>
    </row>
    <row r="1949" spans="1:1" x14ac:dyDescent="0.3">
      <c r="A1949" s="12"/>
    </row>
    <row r="1950" spans="1:1" x14ac:dyDescent="0.3">
      <c r="A1950" s="12"/>
    </row>
    <row r="1951" spans="1:1" x14ac:dyDescent="0.3">
      <c r="A1951" s="12"/>
    </row>
    <row r="1952" spans="1:1" x14ac:dyDescent="0.3">
      <c r="A1952" s="12"/>
    </row>
    <row r="1953" spans="1:1" x14ac:dyDescent="0.3">
      <c r="A1953" s="12"/>
    </row>
    <row r="1954" spans="1:1" x14ac:dyDescent="0.3">
      <c r="A1954" s="12"/>
    </row>
    <row r="1955" spans="1:1" x14ac:dyDescent="0.3">
      <c r="A1955" s="12"/>
    </row>
    <row r="1956" spans="1:1" x14ac:dyDescent="0.3">
      <c r="A1956" s="12"/>
    </row>
    <row r="1957" spans="1:1" x14ac:dyDescent="0.3">
      <c r="A1957" s="12"/>
    </row>
    <row r="1958" spans="1:1" x14ac:dyDescent="0.3">
      <c r="A1958" s="12"/>
    </row>
    <row r="1959" spans="1:1" x14ac:dyDescent="0.3">
      <c r="A1959" s="12"/>
    </row>
    <row r="1960" spans="1:1" x14ac:dyDescent="0.3">
      <c r="A1960" s="12"/>
    </row>
    <row r="1961" spans="1:1" x14ac:dyDescent="0.3">
      <c r="A1961" s="12"/>
    </row>
    <row r="1962" spans="1:1" x14ac:dyDescent="0.3">
      <c r="A1962" s="12"/>
    </row>
    <row r="1963" spans="1:1" x14ac:dyDescent="0.3">
      <c r="A1963" s="12"/>
    </row>
    <row r="1964" spans="1:1" x14ac:dyDescent="0.3">
      <c r="A1964" s="12"/>
    </row>
    <row r="1965" spans="1:1" x14ac:dyDescent="0.3">
      <c r="A1965" s="12"/>
    </row>
    <row r="1966" spans="1:1" x14ac:dyDescent="0.3">
      <c r="A1966" s="12"/>
    </row>
    <row r="1967" spans="1:1" x14ac:dyDescent="0.3">
      <c r="A1967" s="12"/>
    </row>
    <row r="1968" spans="1:1" x14ac:dyDescent="0.3">
      <c r="A1968" s="12"/>
    </row>
    <row r="1969" spans="1:1" x14ac:dyDescent="0.3">
      <c r="A1969" s="12"/>
    </row>
    <row r="1970" spans="1:1" x14ac:dyDescent="0.3">
      <c r="A1970" s="12"/>
    </row>
    <row r="1971" spans="1:1" x14ac:dyDescent="0.3">
      <c r="A1971" s="12"/>
    </row>
    <row r="1972" spans="1:1" x14ac:dyDescent="0.3">
      <c r="A1972" s="12"/>
    </row>
    <row r="1973" spans="1:1" x14ac:dyDescent="0.3">
      <c r="A1973" s="12"/>
    </row>
    <row r="1974" spans="1:1" x14ac:dyDescent="0.3">
      <c r="A1974" s="12"/>
    </row>
    <row r="1975" spans="1:1" x14ac:dyDescent="0.3">
      <c r="A1975" s="12"/>
    </row>
    <row r="1976" spans="1:1" x14ac:dyDescent="0.3">
      <c r="A1976" s="12"/>
    </row>
    <row r="1977" spans="1:1" x14ac:dyDescent="0.3">
      <c r="A1977" s="12"/>
    </row>
    <row r="1978" spans="1:1" x14ac:dyDescent="0.3">
      <c r="A1978" s="12"/>
    </row>
    <row r="1979" spans="1:1" x14ac:dyDescent="0.3">
      <c r="A1979" s="12"/>
    </row>
    <row r="1980" spans="1:1" x14ac:dyDescent="0.3">
      <c r="A1980" s="12"/>
    </row>
    <row r="1981" spans="1:1" x14ac:dyDescent="0.3">
      <c r="A1981" s="12"/>
    </row>
    <row r="1982" spans="1:1" x14ac:dyDescent="0.3">
      <c r="A1982" s="12"/>
    </row>
    <row r="1983" spans="1:1" x14ac:dyDescent="0.3">
      <c r="A1983" s="12"/>
    </row>
    <row r="1984" spans="1:1" x14ac:dyDescent="0.3">
      <c r="A1984" s="12"/>
    </row>
    <row r="1985" spans="1:1" x14ac:dyDescent="0.3">
      <c r="A1985" s="12"/>
    </row>
    <row r="1986" spans="1:1" x14ac:dyDescent="0.3">
      <c r="A1986" s="12"/>
    </row>
    <row r="1987" spans="1:1" x14ac:dyDescent="0.3">
      <c r="A1987" s="12"/>
    </row>
    <row r="1988" spans="1:1" x14ac:dyDescent="0.3">
      <c r="A1988" s="12"/>
    </row>
    <row r="1989" spans="1:1" x14ac:dyDescent="0.3">
      <c r="A1989" s="12"/>
    </row>
    <row r="1990" spans="1:1" x14ac:dyDescent="0.3">
      <c r="A1990" s="12"/>
    </row>
    <row r="1991" spans="1:1" x14ac:dyDescent="0.3">
      <c r="A1991" s="12"/>
    </row>
    <row r="1992" spans="1:1" x14ac:dyDescent="0.3">
      <c r="A1992" s="12"/>
    </row>
    <row r="1993" spans="1:1" x14ac:dyDescent="0.3">
      <c r="A1993" s="12"/>
    </row>
    <row r="1994" spans="1:1" x14ac:dyDescent="0.3">
      <c r="A1994" s="12"/>
    </row>
    <row r="1995" spans="1:1" x14ac:dyDescent="0.3">
      <c r="A1995" s="12"/>
    </row>
    <row r="1996" spans="1:1" x14ac:dyDescent="0.3">
      <c r="A1996" s="12"/>
    </row>
    <row r="1997" spans="1:1" x14ac:dyDescent="0.3">
      <c r="A1997" s="12"/>
    </row>
    <row r="1998" spans="1:1" x14ac:dyDescent="0.3">
      <c r="A1998" s="12"/>
    </row>
    <row r="1999" spans="1:1" x14ac:dyDescent="0.3">
      <c r="A1999" s="12"/>
    </row>
    <row r="2000" spans="1:1" x14ac:dyDescent="0.3">
      <c r="A2000" s="12"/>
    </row>
    <row r="2001" spans="1:1" x14ac:dyDescent="0.3">
      <c r="A2001" s="12"/>
    </row>
    <row r="2002" spans="1:1" x14ac:dyDescent="0.3">
      <c r="A2002" s="12"/>
    </row>
    <row r="2003" spans="1:1" x14ac:dyDescent="0.3">
      <c r="A2003" s="12"/>
    </row>
    <row r="2004" spans="1:1" x14ac:dyDescent="0.3">
      <c r="A2004" s="12"/>
    </row>
    <row r="2005" spans="1:1" x14ac:dyDescent="0.3">
      <c r="A2005" s="12"/>
    </row>
    <row r="2006" spans="1:1" x14ac:dyDescent="0.3">
      <c r="A2006" s="12"/>
    </row>
    <row r="2007" spans="1:1" x14ac:dyDescent="0.3">
      <c r="A2007" s="12"/>
    </row>
    <row r="2008" spans="1:1" x14ac:dyDescent="0.3">
      <c r="A2008" s="12"/>
    </row>
    <row r="2009" spans="1:1" x14ac:dyDescent="0.3">
      <c r="A2009" s="12"/>
    </row>
    <row r="2010" spans="1:1" x14ac:dyDescent="0.3">
      <c r="A2010" s="12"/>
    </row>
    <row r="2011" spans="1:1" x14ac:dyDescent="0.3">
      <c r="A2011" s="12"/>
    </row>
    <row r="2012" spans="1:1" x14ac:dyDescent="0.3">
      <c r="A2012" s="12"/>
    </row>
    <row r="2013" spans="1:1" x14ac:dyDescent="0.3">
      <c r="A2013" s="12"/>
    </row>
    <row r="2014" spans="1:1" x14ac:dyDescent="0.3">
      <c r="A2014" s="12"/>
    </row>
    <row r="2015" spans="1:1" x14ac:dyDescent="0.3">
      <c r="A2015" s="12"/>
    </row>
    <row r="2016" spans="1:1" x14ac:dyDescent="0.3">
      <c r="A2016" s="12"/>
    </row>
    <row r="2017" spans="1:1" x14ac:dyDescent="0.3">
      <c r="A2017" s="12"/>
    </row>
    <row r="2018" spans="1:1" x14ac:dyDescent="0.3">
      <c r="A2018" s="12"/>
    </row>
    <row r="2019" spans="1:1" x14ac:dyDescent="0.3">
      <c r="A2019" s="12"/>
    </row>
    <row r="2020" spans="1:1" x14ac:dyDescent="0.3">
      <c r="A2020" s="12"/>
    </row>
    <row r="2021" spans="1:1" x14ac:dyDescent="0.3">
      <c r="A2021" s="12"/>
    </row>
    <row r="2022" spans="1:1" x14ac:dyDescent="0.3">
      <c r="A2022" s="12"/>
    </row>
    <row r="2023" spans="1:1" x14ac:dyDescent="0.3">
      <c r="A2023" s="12"/>
    </row>
    <row r="2024" spans="1:1" x14ac:dyDescent="0.3">
      <c r="A2024" s="12"/>
    </row>
    <row r="2025" spans="1:1" x14ac:dyDescent="0.3">
      <c r="A2025" s="12"/>
    </row>
    <row r="2026" spans="1:1" x14ac:dyDescent="0.3">
      <c r="A2026" s="12"/>
    </row>
    <row r="2027" spans="1:1" x14ac:dyDescent="0.3">
      <c r="A2027" s="12"/>
    </row>
    <row r="2028" spans="1:1" x14ac:dyDescent="0.3">
      <c r="A2028" s="12"/>
    </row>
    <row r="2029" spans="1:1" x14ac:dyDescent="0.3">
      <c r="A2029" s="12"/>
    </row>
    <row r="2030" spans="1:1" x14ac:dyDescent="0.3">
      <c r="A2030" s="12"/>
    </row>
    <row r="2031" spans="1:1" x14ac:dyDescent="0.3">
      <c r="A2031" s="12"/>
    </row>
    <row r="2032" spans="1:1" x14ac:dyDescent="0.3">
      <c r="A2032" s="12"/>
    </row>
    <row r="2033" spans="1:1" x14ac:dyDescent="0.3">
      <c r="A2033" s="12"/>
    </row>
    <row r="2034" spans="1:1" x14ac:dyDescent="0.3">
      <c r="A2034" s="12"/>
    </row>
    <row r="2035" spans="1:1" x14ac:dyDescent="0.3">
      <c r="A2035" s="12"/>
    </row>
    <row r="2036" spans="1:1" x14ac:dyDescent="0.3">
      <c r="A2036" s="12"/>
    </row>
    <row r="2037" spans="1:1" x14ac:dyDescent="0.3">
      <c r="A2037" s="12"/>
    </row>
    <row r="2038" spans="1:1" x14ac:dyDescent="0.3">
      <c r="A2038" s="12"/>
    </row>
    <row r="2039" spans="1:1" x14ac:dyDescent="0.3">
      <c r="A2039" s="12"/>
    </row>
    <row r="2040" spans="1:1" x14ac:dyDescent="0.3">
      <c r="A2040" s="12"/>
    </row>
    <row r="2041" spans="1:1" x14ac:dyDescent="0.3">
      <c r="A2041" s="12"/>
    </row>
    <row r="2042" spans="1:1" x14ac:dyDescent="0.3">
      <c r="A2042" s="12"/>
    </row>
    <row r="2043" spans="1:1" x14ac:dyDescent="0.3">
      <c r="A2043" s="12"/>
    </row>
    <row r="2044" spans="1:1" x14ac:dyDescent="0.3">
      <c r="A2044" s="12"/>
    </row>
    <row r="2045" spans="1:1" x14ac:dyDescent="0.3">
      <c r="A2045" s="12"/>
    </row>
    <row r="2046" spans="1:1" x14ac:dyDescent="0.3">
      <c r="A2046" s="12"/>
    </row>
    <row r="2047" spans="1:1" x14ac:dyDescent="0.3">
      <c r="A2047" s="12"/>
    </row>
    <row r="2048" spans="1:1" x14ac:dyDescent="0.3">
      <c r="A2048" s="12"/>
    </row>
    <row r="2049" spans="1:1" x14ac:dyDescent="0.3">
      <c r="A2049" s="12"/>
    </row>
    <row r="2050" spans="1:1" x14ac:dyDescent="0.3">
      <c r="A2050" s="12"/>
    </row>
    <row r="2051" spans="1:1" x14ac:dyDescent="0.3">
      <c r="A2051" s="12"/>
    </row>
    <row r="2052" spans="1:1" x14ac:dyDescent="0.3">
      <c r="A2052" s="12"/>
    </row>
    <row r="2053" spans="1:1" x14ac:dyDescent="0.3">
      <c r="A2053" s="12"/>
    </row>
    <row r="2054" spans="1:1" x14ac:dyDescent="0.3">
      <c r="A2054" s="12"/>
    </row>
    <row r="2055" spans="1:1" x14ac:dyDescent="0.3">
      <c r="A2055" s="12"/>
    </row>
    <row r="2056" spans="1:1" x14ac:dyDescent="0.3">
      <c r="A2056" s="12"/>
    </row>
    <row r="2057" spans="1:1" x14ac:dyDescent="0.3">
      <c r="A2057" s="12"/>
    </row>
    <row r="2058" spans="1:1" x14ac:dyDescent="0.3">
      <c r="A2058" s="12"/>
    </row>
    <row r="2059" spans="1:1" x14ac:dyDescent="0.3">
      <c r="A2059" s="12"/>
    </row>
    <row r="2060" spans="1:1" x14ac:dyDescent="0.3">
      <c r="A2060" s="12"/>
    </row>
    <row r="2061" spans="1:1" x14ac:dyDescent="0.3">
      <c r="A2061" s="12"/>
    </row>
    <row r="2062" spans="1:1" x14ac:dyDescent="0.3">
      <c r="A2062" s="12"/>
    </row>
    <row r="2063" spans="1:1" x14ac:dyDescent="0.3">
      <c r="A2063" s="12"/>
    </row>
    <row r="2064" spans="1:1" x14ac:dyDescent="0.3">
      <c r="A2064" s="12"/>
    </row>
    <row r="2065" spans="1:1" x14ac:dyDescent="0.3">
      <c r="A2065" s="12"/>
    </row>
    <row r="2066" spans="1:1" x14ac:dyDescent="0.3">
      <c r="A2066" s="12"/>
    </row>
    <row r="2067" spans="1:1" x14ac:dyDescent="0.3">
      <c r="A2067" s="12"/>
    </row>
    <row r="2068" spans="1:1" x14ac:dyDescent="0.3">
      <c r="A2068" s="12"/>
    </row>
    <row r="2069" spans="1:1" x14ac:dyDescent="0.3">
      <c r="A2069" s="12"/>
    </row>
    <row r="2070" spans="1:1" x14ac:dyDescent="0.3">
      <c r="A2070" s="12"/>
    </row>
    <row r="2071" spans="1:1" x14ac:dyDescent="0.3">
      <c r="A2071" s="12"/>
    </row>
    <row r="2072" spans="1:1" x14ac:dyDescent="0.3">
      <c r="A2072" s="12"/>
    </row>
    <row r="2073" spans="1:1" x14ac:dyDescent="0.3">
      <c r="A2073" s="12"/>
    </row>
    <row r="2074" spans="1:1" x14ac:dyDescent="0.3">
      <c r="A2074" s="12"/>
    </row>
    <row r="2075" spans="1:1" x14ac:dyDescent="0.3">
      <c r="A2075" s="12"/>
    </row>
    <row r="2076" spans="1:1" x14ac:dyDescent="0.3">
      <c r="A2076" s="12"/>
    </row>
    <row r="2077" spans="1:1" x14ac:dyDescent="0.3">
      <c r="A2077" s="12"/>
    </row>
    <row r="2078" spans="1:1" x14ac:dyDescent="0.3">
      <c r="A2078" s="12"/>
    </row>
    <row r="2079" spans="1:1" x14ac:dyDescent="0.3">
      <c r="A2079" s="12"/>
    </row>
    <row r="2080" spans="1:1" x14ac:dyDescent="0.3">
      <c r="A2080" s="12"/>
    </row>
    <row r="2081" spans="1:1" x14ac:dyDescent="0.3">
      <c r="A2081" s="12"/>
    </row>
    <row r="2082" spans="1:1" x14ac:dyDescent="0.3">
      <c r="A2082" s="12"/>
    </row>
    <row r="2083" spans="1:1" x14ac:dyDescent="0.3">
      <c r="A2083" s="12"/>
    </row>
    <row r="2084" spans="1:1" x14ac:dyDescent="0.3">
      <c r="A2084" s="12"/>
    </row>
    <row r="2085" spans="1:1" x14ac:dyDescent="0.3">
      <c r="A2085" s="12"/>
    </row>
    <row r="2086" spans="1:1" x14ac:dyDescent="0.3">
      <c r="A2086" s="12"/>
    </row>
    <row r="2087" spans="1:1" x14ac:dyDescent="0.3">
      <c r="A2087" s="12"/>
    </row>
    <row r="2088" spans="1:1" x14ac:dyDescent="0.3">
      <c r="A2088" s="12"/>
    </row>
    <row r="2089" spans="1:1" x14ac:dyDescent="0.3">
      <c r="A2089" s="12"/>
    </row>
    <row r="2090" spans="1:1" x14ac:dyDescent="0.3">
      <c r="A2090" s="12"/>
    </row>
    <row r="2091" spans="1:1" x14ac:dyDescent="0.3">
      <c r="A2091" s="12"/>
    </row>
    <row r="2092" spans="1:1" x14ac:dyDescent="0.3">
      <c r="A2092" s="12"/>
    </row>
    <row r="2093" spans="1:1" x14ac:dyDescent="0.3">
      <c r="A2093" s="12"/>
    </row>
    <row r="2094" spans="1:1" x14ac:dyDescent="0.3">
      <c r="A2094" s="12"/>
    </row>
    <row r="2095" spans="1:1" x14ac:dyDescent="0.3">
      <c r="A2095" s="12"/>
    </row>
    <row r="2096" spans="1:1" x14ac:dyDescent="0.3">
      <c r="A2096" s="12"/>
    </row>
    <row r="2097" spans="1:1" x14ac:dyDescent="0.3">
      <c r="A2097" s="12"/>
    </row>
    <row r="2098" spans="1:1" x14ac:dyDescent="0.3">
      <c r="A2098" s="12"/>
    </row>
    <row r="2099" spans="1:1" x14ac:dyDescent="0.3">
      <c r="A2099" s="12"/>
    </row>
    <row r="2100" spans="1:1" x14ac:dyDescent="0.3">
      <c r="A2100" s="12"/>
    </row>
    <row r="2101" spans="1:1" x14ac:dyDescent="0.3">
      <c r="A2101" s="12"/>
    </row>
    <row r="2102" spans="1:1" x14ac:dyDescent="0.3">
      <c r="A2102" s="12"/>
    </row>
    <row r="2103" spans="1:1" x14ac:dyDescent="0.3">
      <c r="A2103" s="12"/>
    </row>
    <row r="2104" spans="1:1" x14ac:dyDescent="0.3">
      <c r="A2104" s="12"/>
    </row>
    <row r="2105" spans="1:1" x14ac:dyDescent="0.3">
      <c r="A2105" s="12"/>
    </row>
    <row r="2106" spans="1:1" x14ac:dyDescent="0.3">
      <c r="A2106" s="12"/>
    </row>
    <row r="2107" spans="1:1" x14ac:dyDescent="0.3">
      <c r="A2107" s="12"/>
    </row>
    <row r="2108" spans="1:1" x14ac:dyDescent="0.3">
      <c r="A2108" s="12"/>
    </row>
    <row r="2109" spans="1:1" x14ac:dyDescent="0.3">
      <c r="A2109" s="12"/>
    </row>
    <row r="2110" spans="1:1" x14ac:dyDescent="0.3">
      <c r="A2110" s="12"/>
    </row>
    <row r="2111" spans="1:1" x14ac:dyDescent="0.3">
      <c r="A2111" s="12"/>
    </row>
    <row r="2112" spans="1:1" x14ac:dyDescent="0.3">
      <c r="A2112" s="12"/>
    </row>
    <row r="2113" spans="1:1" x14ac:dyDescent="0.3">
      <c r="A2113" s="12"/>
    </row>
    <row r="2114" spans="1:1" x14ac:dyDescent="0.3">
      <c r="A2114" s="12"/>
    </row>
    <row r="2115" spans="1:1" x14ac:dyDescent="0.3">
      <c r="A2115" s="12"/>
    </row>
    <row r="2116" spans="1:1" x14ac:dyDescent="0.3">
      <c r="A2116" s="12"/>
    </row>
    <row r="2117" spans="1:1" x14ac:dyDescent="0.3">
      <c r="A2117" s="12"/>
    </row>
    <row r="2118" spans="1:1" x14ac:dyDescent="0.3">
      <c r="A2118" s="12"/>
    </row>
    <row r="2119" spans="1:1" x14ac:dyDescent="0.3">
      <c r="A2119" s="12"/>
    </row>
    <row r="2120" spans="1:1" x14ac:dyDescent="0.3">
      <c r="A2120" s="12"/>
    </row>
    <row r="2121" spans="1:1" x14ac:dyDescent="0.3">
      <c r="A2121" s="12"/>
    </row>
    <row r="2122" spans="1:1" x14ac:dyDescent="0.3">
      <c r="A2122" s="12"/>
    </row>
    <row r="2123" spans="1:1" x14ac:dyDescent="0.3">
      <c r="A2123" s="12"/>
    </row>
    <row r="2124" spans="1:1" x14ac:dyDescent="0.3">
      <c r="A2124" s="12"/>
    </row>
    <row r="2125" spans="1:1" x14ac:dyDescent="0.3">
      <c r="A2125" s="12"/>
    </row>
    <row r="2126" spans="1:1" x14ac:dyDescent="0.3">
      <c r="A2126" s="12"/>
    </row>
    <row r="2127" spans="1:1" x14ac:dyDescent="0.3">
      <c r="A2127" s="12"/>
    </row>
    <row r="2128" spans="1:1" x14ac:dyDescent="0.3">
      <c r="A2128" s="12"/>
    </row>
    <row r="2129" spans="1:1" x14ac:dyDescent="0.3">
      <c r="A2129" s="12"/>
    </row>
    <row r="2130" spans="1:1" x14ac:dyDescent="0.3">
      <c r="A2130" s="12"/>
    </row>
    <row r="2131" spans="1:1" x14ac:dyDescent="0.3">
      <c r="A2131" s="12"/>
    </row>
    <row r="2132" spans="1:1" x14ac:dyDescent="0.3">
      <c r="A2132" s="12"/>
    </row>
    <row r="2133" spans="1:1" x14ac:dyDescent="0.3">
      <c r="A2133" s="12"/>
    </row>
    <row r="2134" spans="1:1" x14ac:dyDescent="0.3">
      <c r="A2134" s="12"/>
    </row>
    <row r="2135" spans="1:1" x14ac:dyDescent="0.3">
      <c r="A2135" s="12"/>
    </row>
    <row r="2136" spans="1:1" x14ac:dyDescent="0.3">
      <c r="A2136" s="12"/>
    </row>
    <row r="2137" spans="1:1" x14ac:dyDescent="0.3">
      <c r="A2137" s="12"/>
    </row>
    <row r="2138" spans="1:1" x14ac:dyDescent="0.3">
      <c r="A2138" s="12"/>
    </row>
    <row r="2139" spans="1:1" x14ac:dyDescent="0.3">
      <c r="A2139" s="12"/>
    </row>
    <row r="2140" spans="1:1" x14ac:dyDescent="0.3">
      <c r="A2140" s="12"/>
    </row>
    <row r="2141" spans="1:1" x14ac:dyDescent="0.3">
      <c r="A2141" s="12"/>
    </row>
    <row r="2142" spans="1:1" x14ac:dyDescent="0.3">
      <c r="A2142" s="12"/>
    </row>
    <row r="2143" spans="1:1" x14ac:dyDescent="0.3">
      <c r="A2143" s="12"/>
    </row>
    <row r="2144" spans="1:1" x14ac:dyDescent="0.3">
      <c r="A2144" s="12"/>
    </row>
    <row r="2145" spans="1:1" x14ac:dyDescent="0.3">
      <c r="A2145" s="12"/>
    </row>
    <row r="2146" spans="1:1" x14ac:dyDescent="0.3">
      <c r="A2146" s="12"/>
    </row>
    <row r="2147" spans="1:1" x14ac:dyDescent="0.3">
      <c r="A2147" s="12"/>
    </row>
    <row r="2148" spans="1:1" x14ac:dyDescent="0.3">
      <c r="A2148" s="12"/>
    </row>
    <row r="2149" spans="1:1" x14ac:dyDescent="0.3">
      <c r="A2149" s="12"/>
    </row>
    <row r="2150" spans="1:1" x14ac:dyDescent="0.3">
      <c r="A2150" s="12"/>
    </row>
    <row r="2151" spans="1:1" x14ac:dyDescent="0.3">
      <c r="A2151" s="12"/>
    </row>
    <row r="2152" spans="1:1" x14ac:dyDescent="0.3">
      <c r="A2152" s="12"/>
    </row>
    <row r="2153" spans="1:1" x14ac:dyDescent="0.3">
      <c r="A2153" s="12"/>
    </row>
    <row r="2154" spans="1:1" x14ac:dyDescent="0.3">
      <c r="A2154" s="12"/>
    </row>
    <row r="2155" spans="1:1" x14ac:dyDescent="0.3">
      <c r="A2155" s="12"/>
    </row>
    <row r="2156" spans="1:1" x14ac:dyDescent="0.3">
      <c r="A2156" s="12"/>
    </row>
    <row r="2157" spans="1:1" x14ac:dyDescent="0.3">
      <c r="A2157" s="12"/>
    </row>
    <row r="2158" spans="1:1" x14ac:dyDescent="0.3">
      <c r="A2158" s="12"/>
    </row>
    <row r="2159" spans="1:1" x14ac:dyDescent="0.3">
      <c r="A2159" s="12"/>
    </row>
    <row r="2160" spans="1:1" x14ac:dyDescent="0.3">
      <c r="A2160" s="12"/>
    </row>
    <row r="2161" spans="1:1" x14ac:dyDescent="0.3">
      <c r="A2161" s="12"/>
    </row>
    <row r="2162" spans="1:1" x14ac:dyDescent="0.3">
      <c r="A2162" s="12"/>
    </row>
    <row r="2163" spans="1:1" x14ac:dyDescent="0.3">
      <c r="A2163" s="12"/>
    </row>
    <row r="2164" spans="1:1" x14ac:dyDescent="0.3">
      <c r="A2164" s="12"/>
    </row>
    <row r="2165" spans="1:1" x14ac:dyDescent="0.3">
      <c r="A2165" s="12"/>
    </row>
    <row r="2166" spans="1:1" x14ac:dyDescent="0.3">
      <c r="A2166" s="12"/>
    </row>
    <row r="2167" spans="1:1" x14ac:dyDescent="0.3">
      <c r="A2167" s="12"/>
    </row>
    <row r="2168" spans="1:1" x14ac:dyDescent="0.3">
      <c r="A2168" s="12"/>
    </row>
    <row r="2169" spans="1:1" x14ac:dyDescent="0.3">
      <c r="A2169" s="12"/>
    </row>
    <row r="2170" spans="1:1" x14ac:dyDescent="0.3">
      <c r="A2170" s="12"/>
    </row>
    <row r="2171" spans="1:1" x14ac:dyDescent="0.3">
      <c r="A2171" s="12"/>
    </row>
    <row r="2172" spans="1:1" x14ac:dyDescent="0.3">
      <c r="A2172" s="12"/>
    </row>
    <row r="2173" spans="1:1" x14ac:dyDescent="0.3">
      <c r="A2173" s="12"/>
    </row>
    <row r="2174" spans="1:1" x14ac:dyDescent="0.3">
      <c r="A2174" s="12"/>
    </row>
    <row r="2175" spans="1:1" x14ac:dyDescent="0.3">
      <c r="A2175" s="12"/>
    </row>
    <row r="2176" spans="1:1" x14ac:dyDescent="0.3">
      <c r="A2176" s="12"/>
    </row>
    <row r="2177" spans="1:1" x14ac:dyDescent="0.3">
      <c r="A2177" s="12"/>
    </row>
    <row r="2178" spans="1:1" x14ac:dyDescent="0.3">
      <c r="A2178" s="12"/>
    </row>
    <row r="2179" spans="1:1" x14ac:dyDescent="0.3">
      <c r="A2179" s="12"/>
    </row>
    <row r="2180" spans="1:1" x14ac:dyDescent="0.3">
      <c r="A2180" s="12"/>
    </row>
    <row r="2181" spans="1:1" x14ac:dyDescent="0.3">
      <c r="A2181" s="12"/>
    </row>
    <row r="2182" spans="1:1" x14ac:dyDescent="0.3">
      <c r="A2182" s="12"/>
    </row>
    <row r="2183" spans="1:1" x14ac:dyDescent="0.3">
      <c r="A2183" s="12"/>
    </row>
    <row r="2184" spans="1:1" x14ac:dyDescent="0.3">
      <c r="A2184" s="12"/>
    </row>
    <row r="2185" spans="1:1" x14ac:dyDescent="0.3">
      <c r="A2185" s="12"/>
    </row>
    <row r="2186" spans="1:1" x14ac:dyDescent="0.3">
      <c r="A2186" s="12"/>
    </row>
    <row r="2187" spans="1:1" x14ac:dyDescent="0.3">
      <c r="A2187" s="12"/>
    </row>
    <row r="2188" spans="1:1" x14ac:dyDescent="0.3">
      <c r="A2188" s="12"/>
    </row>
    <row r="2189" spans="1:1" x14ac:dyDescent="0.3">
      <c r="A2189" s="12"/>
    </row>
    <row r="2190" spans="1:1" x14ac:dyDescent="0.3">
      <c r="A2190" s="12"/>
    </row>
    <row r="2191" spans="1:1" x14ac:dyDescent="0.3">
      <c r="A2191" s="12"/>
    </row>
    <row r="2192" spans="1:1" x14ac:dyDescent="0.3">
      <c r="A2192" s="12"/>
    </row>
    <row r="2193" spans="1:1" x14ac:dyDescent="0.3">
      <c r="A2193" s="12"/>
    </row>
    <row r="2194" spans="1:1" x14ac:dyDescent="0.3">
      <c r="A2194" s="12"/>
    </row>
    <row r="2195" spans="1:1" x14ac:dyDescent="0.3">
      <c r="A2195" s="12"/>
    </row>
    <row r="2196" spans="1:1" x14ac:dyDescent="0.3">
      <c r="A2196" s="12"/>
    </row>
    <row r="2197" spans="1:1" x14ac:dyDescent="0.3">
      <c r="A2197" s="12"/>
    </row>
    <row r="2198" spans="1:1" x14ac:dyDescent="0.3">
      <c r="A2198" s="12"/>
    </row>
    <row r="2199" spans="1:1" x14ac:dyDescent="0.3">
      <c r="A2199" s="12"/>
    </row>
    <row r="2200" spans="1:1" x14ac:dyDescent="0.3">
      <c r="A2200" s="12"/>
    </row>
    <row r="2201" spans="1:1" x14ac:dyDescent="0.3">
      <c r="A2201" s="12"/>
    </row>
    <row r="2202" spans="1:1" x14ac:dyDescent="0.3">
      <c r="A2202" s="12"/>
    </row>
    <row r="2203" spans="1:1" x14ac:dyDescent="0.3">
      <c r="A2203" s="12"/>
    </row>
    <row r="2204" spans="1:1" x14ac:dyDescent="0.3">
      <c r="A2204" s="12"/>
    </row>
    <row r="2205" spans="1:1" x14ac:dyDescent="0.3">
      <c r="A2205" s="12"/>
    </row>
    <row r="2206" spans="1:1" x14ac:dyDescent="0.3">
      <c r="A2206" s="12"/>
    </row>
    <row r="2207" spans="1:1" x14ac:dyDescent="0.3">
      <c r="A2207" s="12"/>
    </row>
    <row r="2208" spans="1:1" x14ac:dyDescent="0.3">
      <c r="A2208" s="12"/>
    </row>
    <row r="2209" spans="1:1" x14ac:dyDescent="0.3">
      <c r="A2209" s="12"/>
    </row>
    <row r="2210" spans="1:1" x14ac:dyDescent="0.3">
      <c r="A2210" s="12"/>
    </row>
    <row r="2211" spans="1:1" x14ac:dyDescent="0.3">
      <c r="A2211" s="12"/>
    </row>
    <row r="2212" spans="1:1" x14ac:dyDescent="0.3">
      <c r="A2212" s="12"/>
    </row>
    <row r="2213" spans="1:1" x14ac:dyDescent="0.3">
      <c r="A2213" s="12"/>
    </row>
    <row r="2214" spans="1:1" x14ac:dyDescent="0.3">
      <c r="A2214" s="12"/>
    </row>
    <row r="2215" spans="1:1" x14ac:dyDescent="0.3">
      <c r="A2215" s="12"/>
    </row>
    <row r="2216" spans="1:1" x14ac:dyDescent="0.3">
      <c r="A2216" s="12"/>
    </row>
    <row r="2217" spans="1:1" x14ac:dyDescent="0.3">
      <c r="A2217" s="12"/>
    </row>
    <row r="2218" spans="1:1" x14ac:dyDescent="0.3">
      <c r="A2218" s="12"/>
    </row>
    <row r="2219" spans="1:1" x14ac:dyDescent="0.3">
      <c r="A2219" s="12"/>
    </row>
    <row r="2220" spans="1:1" x14ac:dyDescent="0.3">
      <c r="A2220" s="12"/>
    </row>
    <row r="2221" spans="1:1" x14ac:dyDescent="0.3">
      <c r="A2221" s="12"/>
    </row>
    <row r="2222" spans="1:1" x14ac:dyDescent="0.3">
      <c r="A2222" s="12"/>
    </row>
    <row r="2223" spans="1:1" x14ac:dyDescent="0.3">
      <c r="A2223" s="12"/>
    </row>
    <row r="2224" spans="1:1" x14ac:dyDescent="0.3">
      <c r="A2224" s="12"/>
    </row>
    <row r="2225" spans="1:1" x14ac:dyDescent="0.3">
      <c r="A2225" s="12"/>
    </row>
    <row r="2226" spans="1:1" x14ac:dyDescent="0.3">
      <c r="A2226" s="12"/>
    </row>
    <row r="2227" spans="1:1" x14ac:dyDescent="0.3">
      <c r="A2227" s="12"/>
    </row>
    <row r="2228" spans="1:1" x14ac:dyDescent="0.3">
      <c r="A2228" s="12"/>
    </row>
    <row r="2229" spans="1:1" x14ac:dyDescent="0.3">
      <c r="A2229" s="12"/>
    </row>
    <row r="2230" spans="1:1" x14ac:dyDescent="0.3">
      <c r="A2230" s="12"/>
    </row>
    <row r="2231" spans="1:1" x14ac:dyDescent="0.3">
      <c r="A2231" s="12"/>
    </row>
    <row r="2232" spans="1:1" x14ac:dyDescent="0.3">
      <c r="A2232" s="12"/>
    </row>
    <row r="2233" spans="1:1" x14ac:dyDescent="0.3">
      <c r="A2233" s="12"/>
    </row>
    <row r="2234" spans="1:1" x14ac:dyDescent="0.3">
      <c r="A2234" s="12"/>
    </row>
    <row r="2235" spans="1:1" x14ac:dyDescent="0.3">
      <c r="A2235" s="12"/>
    </row>
    <row r="2236" spans="1:1" x14ac:dyDescent="0.3">
      <c r="A2236" s="12"/>
    </row>
    <row r="2237" spans="1:1" x14ac:dyDescent="0.3">
      <c r="A2237" s="12"/>
    </row>
    <row r="2238" spans="1:1" x14ac:dyDescent="0.3">
      <c r="A2238" s="12"/>
    </row>
    <row r="2239" spans="1:1" x14ac:dyDescent="0.3">
      <c r="A2239" s="12"/>
    </row>
    <row r="2240" spans="1:1" x14ac:dyDescent="0.3">
      <c r="A2240" s="12"/>
    </row>
    <row r="2241" spans="1:1" x14ac:dyDescent="0.3">
      <c r="A2241" s="12"/>
    </row>
    <row r="2242" spans="1:1" x14ac:dyDescent="0.3">
      <c r="A2242" s="12"/>
    </row>
    <row r="2243" spans="1:1" x14ac:dyDescent="0.3">
      <c r="A2243" s="12"/>
    </row>
    <row r="2244" spans="1:1" x14ac:dyDescent="0.3">
      <c r="A2244" s="12"/>
    </row>
    <row r="2245" spans="1:1" x14ac:dyDescent="0.3">
      <c r="A2245" s="12"/>
    </row>
    <row r="2246" spans="1:1" x14ac:dyDescent="0.3">
      <c r="A2246" s="12"/>
    </row>
    <row r="2247" spans="1:1" x14ac:dyDescent="0.3">
      <c r="A2247" s="12"/>
    </row>
    <row r="2248" spans="1:1" x14ac:dyDescent="0.3">
      <c r="A2248" s="12"/>
    </row>
    <row r="2249" spans="1:1" x14ac:dyDescent="0.3">
      <c r="A2249" s="12"/>
    </row>
    <row r="2250" spans="1:1" x14ac:dyDescent="0.3">
      <c r="A2250" s="12"/>
    </row>
    <row r="2251" spans="1:1" x14ac:dyDescent="0.3">
      <c r="A2251" s="12"/>
    </row>
    <row r="2252" spans="1:1" x14ac:dyDescent="0.3">
      <c r="A2252" s="12"/>
    </row>
    <row r="2253" spans="1:1" x14ac:dyDescent="0.3">
      <c r="A2253" s="12"/>
    </row>
    <row r="2254" spans="1:1" x14ac:dyDescent="0.3">
      <c r="A2254" s="12"/>
    </row>
    <row r="2255" spans="1:1" x14ac:dyDescent="0.3">
      <c r="A2255" s="12"/>
    </row>
    <row r="2256" spans="1:1" x14ac:dyDescent="0.3">
      <c r="A2256" s="12"/>
    </row>
    <row r="2257" spans="1:1" x14ac:dyDescent="0.3">
      <c r="A2257" s="12"/>
    </row>
    <row r="2258" spans="1:1" x14ac:dyDescent="0.3">
      <c r="A2258" s="12"/>
    </row>
    <row r="2259" spans="1:1" x14ac:dyDescent="0.3">
      <c r="A2259" s="12"/>
    </row>
    <row r="2260" spans="1:1" x14ac:dyDescent="0.3">
      <c r="A2260" s="12"/>
    </row>
    <row r="2261" spans="1:1" x14ac:dyDescent="0.3">
      <c r="A2261" s="12"/>
    </row>
    <row r="2262" spans="1:1" x14ac:dyDescent="0.3">
      <c r="A2262" s="12"/>
    </row>
    <row r="2263" spans="1:1" x14ac:dyDescent="0.3">
      <c r="A2263" s="12"/>
    </row>
    <row r="2264" spans="1:1" x14ac:dyDescent="0.3">
      <c r="A2264" s="12"/>
    </row>
    <row r="2265" spans="1:1" x14ac:dyDescent="0.3">
      <c r="A2265" s="12"/>
    </row>
    <row r="2266" spans="1:1" x14ac:dyDescent="0.3">
      <c r="A2266" s="12"/>
    </row>
    <row r="2267" spans="1:1" x14ac:dyDescent="0.3">
      <c r="A2267" s="12"/>
    </row>
    <row r="2268" spans="1:1" x14ac:dyDescent="0.3">
      <c r="A2268" s="12"/>
    </row>
    <row r="2269" spans="1:1" x14ac:dyDescent="0.3">
      <c r="A2269" s="12"/>
    </row>
    <row r="2270" spans="1:1" x14ac:dyDescent="0.3">
      <c r="A2270" s="12"/>
    </row>
    <row r="2271" spans="1:1" x14ac:dyDescent="0.3">
      <c r="A2271" s="12"/>
    </row>
    <row r="2272" spans="1:1" x14ac:dyDescent="0.3">
      <c r="A2272" s="12"/>
    </row>
    <row r="2273" spans="1:1" x14ac:dyDescent="0.3">
      <c r="A2273" s="12"/>
    </row>
    <row r="2274" spans="1:1" x14ac:dyDescent="0.3">
      <c r="A2274" s="12"/>
    </row>
    <row r="2275" spans="1:1" x14ac:dyDescent="0.3">
      <c r="A2275" s="12"/>
    </row>
    <row r="2276" spans="1:1" x14ac:dyDescent="0.3">
      <c r="A2276" s="12"/>
    </row>
    <row r="2277" spans="1:1" x14ac:dyDescent="0.3">
      <c r="A2277" s="12"/>
    </row>
    <row r="2278" spans="1:1" x14ac:dyDescent="0.3">
      <c r="A2278" s="12"/>
    </row>
    <row r="2279" spans="1:1" x14ac:dyDescent="0.3">
      <c r="A2279" s="12"/>
    </row>
    <row r="2280" spans="1:1" x14ac:dyDescent="0.3">
      <c r="A2280" s="12"/>
    </row>
    <row r="2281" spans="1:1" x14ac:dyDescent="0.3">
      <c r="A2281" s="12"/>
    </row>
    <row r="2282" spans="1:1" x14ac:dyDescent="0.3">
      <c r="A2282" s="12"/>
    </row>
    <row r="2283" spans="1:1" x14ac:dyDescent="0.3">
      <c r="A2283" s="12"/>
    </row>
    <row r="2284" spans="1:1" x14ac:dyDescent="0.3">
      <c r="A2284" s="12"/>
    </row>
    <row r="2285" spans="1:1" x14ac:dyDescent="0.3">
      <c r="A2285" s="12"/>
    </row>
    <row r="2286" spans="1:1" x14ac:dyDescent="0.3">
      <c r="A2286" s="12"/>
    </row>
    <row r="2287" spans="1:1" x14ac:dyDescent="0.3">
      <c r="A2287" s="12"/>
    </row>
    <row r="2288" spans="1:1" x14ac:dyDescent="0.3">
      <c r="A2288" s="12"/>
    </row>
    <row r="2289" spans="1:1" x14ac:dyDescent="0.3">
      <c r="A2289" s="12"/>
    </row>
    <row r="2290" spans="1:1" x14ac:dyDescent="0.3">
      <c r="A2290" s="12"/>
    </row>
    <row r="2291" spans="1:1" x14ac:dyDescent="0.3">
      <c r="A2291" s="12"/>
    </row>
    <row r="2292" spans="1:1" x14ac:dyDescent="0.3">
      <c r="A2292" s="12"/>
    </row>
    <row r="2293" spans="1:1" x14ac:dyDescent="0.3">
      <c r="A2293" s="12"/>
    </row>
    <row r="2294" spans="1:1" x14ac:dyDescent="0.3">
      <c r="A2294" s="12"/>
    </row>
    <row r="2295" spans="1:1" x14ac:dyDescent="0.3">
      <c r="A2295" s="12"/>
    </row>
    <row r="2296" spans="1:1" x14ac:dyDescent="0.3">
      <c r="A2296" s="12"/>
    </row>
    <row r="2297" spans="1:1" x14ac:dyDescent="0.3">
      <c r="A2297" s="12"/>
    </row>
    <row r="2298" spans="1:1" x14ac:dyDescent="0.3">
      <c r="A2298" s="12"/>
    </row>
    <row r="2299" spans="1:1" x14ac:dyDescent="0.3">
      <c r="A2299" s="12"/>
    </row>
    <row r="2300" spans="1:1" x14ac:dyDescent="0.3">
      <c r="A2300" s="12"/>
    </row>
    <row r="2301" spans="1:1" x14ac:dyDescent="0.3">
      <c r="A2301" s="12"/>
    </row>
    <row r="2302" spans="1:1" x14ac:dyDescent="0.3">
      <c r="A2302" s="12"/>
    </row>
    <row r="2303" spans="1:1" x14ac:dyDescent="0.3">
      <c r="A2303" s="12"/>
    </row>
    <row r="2304" spans="1:1" x14ac:dyDescent="0.3">
      <c r="A2304" s="12"/>
    </row>
    <row r="2305" spans="1:1" x14ac:dyDescent="0.3">
      <c r="A2305" s="12"/>
    </row>
    <row r="2306" spans="1:1" x14ac:dyDescent="0.3">
      <c r="A2306" s="12"/>
    </row>
    <row r="2307" spans="1:1" x14ac:dyDescent="0.3">
      <c r="A2307" s="12"/>
    </row>
    <row r="2308" spans="1:1" x14ac:dyDescent="0.3">
      <c r="A2308" s="12"/>
    </row>
    <row r="2309" spans="1:1" x14ac:dyDescent="0.3">
      <c r="A2309" s="12"/>
    </row>
    <row r="2310" spans="1:1" x14ac:dyDescent="0.3">
      <c r="A2310" s="12"/>
    </row>
    <row r="2311" spans="1:1" x14ac:dyDescent="0.3">
      <c r="A2311" s="12"/>
    </row>
    <row r="2312" spans="1:1" x14ac:dyDescent="0.3">
      <c r="A2312" s="12"/>
    </row>
    <row r="2313" spans="1:1" x14ac:dyDescent="0.3">
      <c r="A2313" s="12"/>
    </row>
    <row r="2314" spans="1:1" x14ac:dyDescent="0.3">
      <c r="A2314" s="12"/>
    </row>
    <row r="2315" spans="1:1" x14ac:dyDescent="0.3">
      <c r="A2315" s="12"/>
    </row>
    <row r="2316" spans="1:1" x14ac:dyDescent="0.3">
      <c r="A2316" s="12"/>
    </row>
    <row r="2317" spans="1:1" x14ac:dyDescent="0.3">
      <c r="A2317" s="12"/>
    </row>
    <row r="2318" spans="1:1" x14ac:dyDescent="0.3">
      <c r="A2318" s="12"/>
    </row>
    <row r="2319" spans="1:1" x14ac:dyDescent="0.3">
      <c r="A2319" s="12"/>
    </row>
    <row r="2320" spans="1:1" x14ac:dyDescent="0.3">
      <c r="A2320" s="12"/>
    </row>
    <row r="2321" spans="1:1" x14ac:dyDescent="0.3">
      <c r="A2321" s="12"/>
    </row>
    <row r="2322" spans="1:1" x14ac:dyDescent="0.3">
      <c r="A2322" s="12"/>
    </row>
    <row r="2323" spans="1:1" x14ac:dyDescent="0.3">
      <c r="A2323" s="12"/>
    </row>
    <row r="2324" spans="1:1" x14ac:dyDescent="0.3">
      <c r="A2324" s="12"/>
    </row>
    <row r="2325" spans="1:1" x14ac:dyDescent="0.3">
      <c r="A2325" s="12"/>
    </row>
    <row r="2326" spans="1:1" x14ac:dyDescent="0.3">
      <c r="A2326" s="12"/>
    </row>
    <row r="2327" spans="1:1" x14ac:dyDescent="0.3">
      <c r="A2327" s="12"/>
    </row>
    <row r="2328" spans="1:1" x14ac:dyDescent="0.3">
      <c r="A2328" s="12"/>
    </row>
    <row r="2329" spans="1:1" x14ac:dyDescent="0.3">
      <c r="A2329" s="12"/>
    </row>
    <row r="2330" spans="1:1" x14ac:dyDescent="0.3">
      <c r="A2330" s="12"/>
    </row>
    <row r="2331" spans="1:1" x14ac:dyDescent="0.3">
      <c r="A2331" s="12"/>
    </row>
    <row r="2332" spans="1:1" x14ac:dyDescent="0.3">
      <c r="A2332" s="12"/>
    </row>
    <row r="2333" spans="1:1" x14ac:dyDescent="0.3">
      <c r="A2333" s="12"/>
    </row>
    <row r="2334" spans="1:1" x14ac:dyDescent="0.3">
      <c r="A2334" s="12"/>
    </row>
    <row r="2335" spans="1:1" x14ac:dyDescent="0.3">
      <c r="A2335" s="12"/>
    </row>
    <row r="2336" spans="1:1" x14ac:dyDescent="0.3">
      <c r="A2336" s="12"/>
    </row>
    <row r="2337" spans="1:1" x14ac:dyDescent="0.3">
      <c r="A2337" s="12"/>
    </row>
    <row r="2338" spans="1:1" x14ac:dyDescent="0.3">
      <c r="A2338" s="12"/>
    </row>
    <row r="2339" spans="1:1" x14ac:dyDescent="0.3">
      <c r="A2339" s="12"/>
    </row>
    <row r="2340" spans="1:1" x14ac:dyDescent="0.3">
      <c r="A2340" s="12"/>
    </row>
    <row r="2341" spans="1:1" x14ac:dyDescent="0.3">
      <c r="A2341" s="12"/>
    </row>
    <row r="2342" spans="1:1" x14ac:dyDescent="0.3">
      <c r="A2342" s="12"/>
    </row>
    <row r="2343" spans="1:1" x14ac:dyDescent="0.3">
      <c r="A2343" s="12"/>
    </row>
    <row r="2344" spans="1:1" x14ac:dyDescent="0.3">
      <c r="A2344" s="12"/>
    </row>
    <row r="2345" spans="1:1" x14ac:dyDescent="0.3">
      <c r="A2345" s="12"/>
    </row>
    <row r="2346" spans="1:1" x14ac:dyDescent="0.3">
      <c r="A2346" s="12"/>
    </row>
    <row r="2347" spans="1:1" x14ac:dyDescent="0.3">
      <c r="A2347" s="12"/>
    </row>
    <row r="2348" spans="1:1" x14ac:dyDescent="0.3">
      <c r="A2348" s="12"/>
    </row>
    <row r="2349" spans="1:1" x14ac:dyDescent="0.3">
      <c r="A2349" s="12"/>
    </row>
    <row r="2350" spans="1:1" x14ac:dyDescent="0.3">
      <c r="A2350" s="12"/>
    </row>
    <row r="2351" spans="1:1" x14ac:dyDescent="0.3">
      <c r="A2351" s="12"/>
    </row>
    <row r="2352" spans="1:1" x14ac:dyDescent="0.3">
      <c r="A2352" s="12"/>
    </row>
    <row r="2353" spans="1:1" x14ac:dyDescent="0.3">
      <c r="A2353" s="12"/>
    </row>
    <row r="2354" spans="1:1" x14ac:dyDescent="0.3">
      <c r="A2354" s="12"/>
    </row>
    <row r="2355" spans="1:1" x14ac:dyDescent="0.3">
      <c r="A2355" s="12"/>
    </row>
    <row r="2356" spans="1:1" x14ac:dyDescent="0.3">
      <c r="A2356" s="12"/>
    </row>
    <row r="2357" spans="1:1" x14ac:dyDescent="0.3">
      <c r="A2357" s="12"/>
    </row>
    <row r="2358" spans="1:1" x14ac:dyDescent="0.3">
      <c r="A2358" s="12"/>
    </row>
    <row r="2359" spans="1:1" x14ac:dyDescent="0.3">
      <c r="A2359" s="12"/>
    </row>
    <row r="2360" spans="1:1" x14ac:dyDescent="0.3">
      <c r="A2360" s="12"/>
    </row>
    <row r="2361" spans="1:1" x14ac:dyDescent="0.3">
      <c r="A2361" s="12"/>
    </row>
    <row r="2362" spans="1:1" x14ac:dyDescent="0.3">
      <c r="A2362" s="12"/>
    </row>
    <row r="2363" spans="1:1" x14ac:dyDescent="0.3">
      <c r="A2363" s="12"/>
    </row>
    <row r="2364" spans="1:1" x14ac:dyDescent="0.3">
      <c r="A2364" s="12"/>
    </row>
    <row r="2365" spans="1:1" x14ac:dyDescent="0.3">
      <c r="A2365" s="12"/>
    </row>
    <row r="2366" spans="1:1" x14ac:dyDescent="0.3">
      <c r="A2366" s="12"/>
    </row>
    <row r="2367" spans="1:1" x14ac:dyDescent="0.3">
      <c r="A2367" s="12"/>
    </row>
    <row r="2368" spans="1:1" x14ac:dyDescent="0.3">
      <c r="A2368" s="12"/>
    </row>
    <row r="2369" spans="1:1" x14ac:dyDescent="0.3">
      <c r="A2369" s="12"/>
    </row>
    <row r="2370" spans="1:1" x14ac:dyDescent="0.3">
      <c r="A2370" s="12"/>
    </row>
    <row r="2371" spans="1:1" x14ac:dyDescent="0.3">
      <c r="A2371" s="12"/>
    </row>
    <row r="2372" spans="1:1" x14ac:dyDescent="0.3">
      <c r="A2372" s="12"/>
    </row>
    <row r="2373" spans="1:1" x14ac:dyDescent="0.3">
      <c r="A2373" s="12"/>
    </row>
    <row r="2374" spans="1:1" x14ac:dyDescent="0.3">
      <c r="A2374" s="12"/>
    </row>
    <row r="2375" spans="1:1" x14ac:dyDescent="0.3">
      <c r="A2375" s="12"/>
    </row>
    <row r="2376" spans="1:1" x14ac:dyDescent="0.3">
      <c r="A2376" s="12"/>
    </row>
    <row r="2377" spans="1:1" x14ac:dyDescent="0.3">
      <c r="A2377" s="12"/>
    </row>
    <row r="2378" spans="1:1" x14ac:dyDescent="0.3">
      <c r="A2378" s="12"/>
    </row>
    <row r="2379" spans="1:1" x14ac:dyDescent="0.3">
      <c r="A2379" s="12"/>
    </row>
    <row r="2380" spans="1:1" x14ac:dyDescent="0.3">
      <c r="A2380" s="12"/>
    </row>
    <row r="2381" spans="1:1" x14ac:dyDescent="0.3">
      <c r="A2381" s="12"/>
    </row>
    <row r="2382" spans="1:1" x14ac:dyDescent="0.3">
      <c r="A2382" s="12"/>
    </row>
    <row r="2383" spans="1:1" x14ac:dyDescent="0.3">
      <c r="A2383" s="12"/>
    </row>
    <row r="2384" spans="1:1" x14ac:dyDescent="0.3">
      <c r="A2384" s="12"/>
    </row>
    <row r="2385" spans="1:1" x14ac:dyDescent="0.3">
      <c r="A2385" s="12"/>
    </row>
    <row r="2386" spans="1:1" x14ac:dyDescent="0.3">
      <c r="A2386" s="12"/>
    </row>
    <row r="2387" spans="1:1" x14ac:dyDescent="0.3">
      <c r="A2387" s="12"/>
    </row>
    <row r="2388" spans="1:1" x14ac:dyDescent="0.3">
      <c r="A2388" s="12"/>
    </row>
    <row r="2389" spans="1:1" x14ac:dyDescent="0.3">
      <c r="A2389" s="12"/>
    </row>
    <row r="2390" spans="1:1" x14ac:dyDescent="0.3">
      <c r="A2390" s="12"/>
    </row>
    <row r="2391" spans="1:1" x14ac:dyDescent="0.3">
      <c r="A2391" s="12"/>
    </row>
    <row r="2392" spans="1:1" x14ac:dyDescent="0.3">
      <c r="A2392" s="12"/>
    </row>
    <row r="2393" spans="1:1" x14ac:dyDescent="0.3">
      <c r="A2393" s="12"/>
    </row>
    <row r="2394" spans="1:1" x14ac:dyDescent="0.3">
      <c r="A2394" s="12"/>
    </row>
    <row r="2395" spans="1:1" x14ac:dyDescent="0.3">
      <c r="A2395" s="12"/>
    </row>
    <row r="2396" spans="1:1" x14ac:dyDescent="0.3">
      <c r="A2396" s="12"/>
    </row>
    <row r="2397" spans="1:1" x14ac:dyDescent="0.3">
      <c r="A2397" s="12"/>
    </row>
    <row r="2398" spans="1:1" x14ac:dyDescent="0.3">
      <c r="A2398" s="12"/>
    </row>
    <row r="2399" spans="1:1" x14ac:dyDescent="0.3">
      <c r="A2399" s="12"/>
    </row>
    <row r="2400" spans="1:1" x14ac:dyDescent="0.3">
      <c r="A2400" s="12"/>
    </row>
    <row r="2401" spans="1:1" x14ac:dyDescent="0.3">
      <c r="A2401" s="12"/>
    </row>
    <row r="2402" spans="1:1" x14ac:dyDescent="0.3">
      <c r="A2402" s="12"/>
    </row>
    <row r="2403" spans="1:1" x14ac:dyDescent="0.3">
      <c r="A2403" s="12"/>
    </row>
    <row r="2404" spans="1:1" x14ac:dyDescent="0.3">
      <c r="A2404" s="12"/>
    </row>
    <row r="2405" spans="1:1" x14ac:dyDescent="0.3">
      <c r="A2405" s="12"/>
    </row>
    <row r="2406" spans="1:1" x14ac:dyDescent="0.3">
      <c r="A2406" s="12"/>
    </row>
    <row r="2407" spans="1:1" x14ac:dyDescent="0.3">
      <c r="A2407" s="12"/>
    </row>
    <row r="2408" spans="1:1" x14ac:dyDescent="0.3">
      <c r="A2408" s="12"/>
    </row>
    <row r="2409" spans="1:1" x14ac:dyDescent="0.3">
      <c r="A2409" s="12"/>
    </row>
    <row r="2410" spans="1:1" x14ac:dyDescent="0.3">
      <c r="A2410" s="12"/>
    </row>
    <row r="2411" spans="1:1" x14ac:dyDescent="0.3">
      <c r="A2411" s="12"/>
    </row>
    <row r="2412" spans="1:1" x14ac:dyDescent="0.3">
      <c r="A2412" s="12"/>
    </row>
    <row r="2413" spans="1:1" x14ac:dyDescent="0.3">
      <c r="A2413" s="12"/>
    </row>
    <row r="2414" spans="1:1" x14ac:dyDescent="0.3">
      <c r="A2414" s="12"/>
    </row>
    <row r="2415" spans="1:1" x14ac:dyDescent="0.3">
      <c r="A2415" s="12"/>
    </row>
    <row r="2416" spans="1:1" x14ac:dyDescent="0.3">
      <c r="A2416" s="12"/>
    </row>
    <row r="2417" spans="1:1" x14ac:dyDescent="0.3">
      <c r="A2417" s="12"/>
    </row>
    <row r="2418" spans="1:1" x14ac:dyDescent="0.3">
      <c r="A2418" s="12"/>
    </row>
    <row r="2419" spans="1:1" x14ac:dyDescent="0.3">
      <c r="A2419" s="12"/>
    </row>
    <row r="2420" spans="1:1" x14ac:dyDescent="0.3">
      <c r="A2420" s="12"/>
    </row>
    <row r="2421" spans="1:1" x14ac:dyDescent="0.3">
      <c r="A2421" s="12"/>
    </row>
    <row r="2422" spans="1:1" x14ac:dyDescent="0.3">
      <c r="A2422" s="12"/>
    </row>
    <row r="2423" spans="1:1" x14ac:dyDescent="0.3">
      <c r="A2423" s="12"/>
    </row>
    <row r="2424" spans="1:1" x14ac:dyDescent="0.3">
      <c r="A2424" s="12"/>
    </row>
    <row r="2425" spans="1:1" x14ac:dyDescent="0.3">
      <c r="A2425" s="12"/>
    </row>
    <row r="2426" spans="1:1" x14ac:dyDescent="0.3">
      <c r="A2426" s="12"/>
    </row>
    <row r="2427" spans="1:1" x14ac:dyDescent="0.3">
      <c r="A2427" s="12"/>
    </row>
    <row r="2428" spans="1:1" x14ac:dyDescent="0.3">
      <c r="A2428" s="12"/>
    </row>
    <row r="2429" spans="1:1" x14ac:dyDescent="0.3">
      <c r="A2429" s="12"/>
    </row>
    <row r="2430" spans="1:1" x14ac:dyDescent="0.3">
      <c r="A2430" s="12"/>
    </row>
    <row r="2431" spans="1:1" x14ac:dyDescent="0.3">
      <c r="A2431" s="12"/>
    </row>
    <row r="2432" spans="1:1" x14ac:dyDescent="0.3">
      <c r="A2432" s="12"/>
    </row>
    <row r="2433" spans="1:1" x14ac:dyDescent="0.3">
      <c r="A2433" s="12"/>
    </row>
    <row r="2434" spans="1:1" x14ac:dyDescent="0.3">
      <c r="A2434" s="12"/>
    </row>
    <row r="2435" spans="1:1" x14ac:dyDescent="0.3">
      <c r="A2435" s="12"/>
    </row>
    <row r="2436" spans="1:1" x14ac:dyDescent="0.3">
      <c r="A2436" s="12"/>
    </row>
    <row r="2437" spans="1:1" x14ac:dyDescent="0.3">
      <c r="A2437" s="12"/>
    </row>
    <row r="2438" spans="1:1" x14ac:dyDescent="0.3">
      <c r="A2438" s="12"/>
    </row>
    <row r="2439" spans="1:1" x14ac:dyDescent="0.3">
      <c r="A2439" s="12"/>
    </row>
    <row r="2440" spans="1:1" x14ac:dyDescent="0.3">
      <c r="A2440" s="12"/>
    </row>
    <row r="2441" spans="1:1" x14ac:dyDescent="0.3">
      <c r="A2441" s="12"/>
    </row>
    <row r="2442" spans="1:1" x14ac:dyDescent="0.3">
      <c r="A2442" s="12"/>
    </row>
    <row r="2443" spans="1:1" x14ac:dyDescent="0.3">
      <c r="A2443" s="12"/>
    </row>
    <row r="2444" spans="1:1" x14ac:dyDescent="0.3">
      <c r="A2444" s="12"/>
    </row>
    <row r="2445" spans="1:1" x14ac:dyDescent="0.3">
      <c r="A2445" s="12"/>
    </row>
    <row r="2446" spans="1:1" x14ac:dyDescent="0.3">
      <c r="A2446" s="12"/>
    </row>
    <row r="2447" spans="1:1" x14ac:dyDescent="0.3">
      <c r="A2447" s="12"/>
    </row>
    <row r="2448" spans="1:1" x14ac:dyDescent="0.3">
      <c r="A2448" s="12"/>
    </row>
    <row r="2449" spans="1:1" x14ac:dyDescent="0.3">
      <c r="A2449" s="12"/>
    </row>
    <row r="2450" spans="1:1" x14ac:dyDescent="0.3">
      <c r="A2450" s="12"/>
    </row>
    <row r="2451" spans="1:1" x14ac:dyDescent="0.3">
      <c r="A2451" s="12"/>
    </row>
    <row r="2452" spans="1:1" x14ac:dyDescent="0.3">
      <c r="A2452" s="12"/>
    </row>
    <row r="2453" spans="1:1" x14ac:dyDescent="0.3">
      <c r="A2453" s="12"/>
    </row>
    <row r="2454" spans="1:1" x14ac:dyDescent="0.3">
      <c r="A2454" s="12"/>
    </row>
    <row r="2455" spans="1:1" x14ac:dyDescent="0.3">
      <c r="A2455" s="12"/>
    </row>
    <row r="2456" spans="1:1" x14ac:dyDescent="0.3">
      <c r="A2456" s="12"/>
    </row>
    <row r="2457" spans="1:1" x14ac:dyDescent="0.3">
      <c r="A2457" s="12"/>
    </row>
    <row r="2458" spans="1:1" x14ac:dyDescent="0.3">
      <c r="A2458" s="12"/>
    </row>
    <row r="2459" spans="1:1" x14ac:dyDescent="0.3">
      <c r="A2459" s="12"/>
    </row>
    <row r="2460" spans="1:1" x14ac:dyDescent="0.3">
      <c r="A2460" s="12"/>
    </row>
    <row r="2461" spans="1:1" x14ac:dyDescent="0.3">
      <c r="A2461" s="12"/>
    </row>
    <row r="2462" spans="1:1" x14ac:dyDescent="0.3">
      <c r="A2462" s="12"/>
    </row>
    <row r="2463" spans="1:1" x14ac:dyDescent="0.3">
      <c r="A2463" s="12"/>
    </row>
    <row r="2464" spans="1:1" x14ac:dyDescent="0.3">
      <c r="A2464" s="12"/>
    </row>
    <row r="2465" spans="1:1" x14ac:dyDescent="0.3">
      <c r="A2465" s="12"/>
    </row>
    <row r="2466" spans="1:1" x14ac:dyDescent="0.3">
      <c r="A2466" s="12"/>
    </row>
    <row r="2467" spans="1:1" x14ac:dyDescent="0.3">
      <c r="A2467" s="12"/>
    </row>
    <row r="2468" spans="1:1" x14ac:dyDescent="0.3">
      <c r="A2468" s="12"/>
    </row>
    <row r="2469" spans="1:1" x14ac:dyDescent="0.3">
      <c r="A2469" s="12"/>
    </row>
    <row r="2470" spans="1:1" x14ac:dyDescent="0.3">
      <c r="A2470" s="12"/>
    </row>
    <row r="2471" spans="1:1" x14ac:dyDescent="0.3">
      <c r="A2471" s="12"/>
    </row>
    <row r="2472" spans="1:1" x14ac:dyDescent="0.3">
      <c r="A2472" s="12"/>
    </row>
    <row r="2473" spans="1:1" x14ac:dyDescent="0.3">
      <c r="A2473" s="12"/>
    </row>
    <row r="2474" spans="1:1" x14ac:dyDescent="0.3">
      <c r="A2474" s="12"/>
    </row>
    <row r="2475" spans="1:1" x14ac:dyDescent="0.3">
      <c r="A2475" s="12"/>
    </row>
    <row r="2476" spans="1:1" x14ac:dyDescent="0.3">
      <c r="A2476" s="12"/>
    </row>
    <row r="2477" spans="1:1" x14ac:dyDescent="0.3">
      <c r="A2477" s="12"/>
    </row>
    <row r="2478" spans="1:1" x14ac:dyDescent="0.3">
      <c r="A2478" s="12"/>
    </row>
    <row r="2479" spans="1:1" x14ac:dyDescent="0.3">
      <c r="A2479" s="12"/>
    </row>
    <row r="2480" spans="1:1" x14ac:dyDescent="0.3">
      <c r="A2480" s="12"/>
    </row>
    <row r="2481" spans="1:1" x14ac:dyDescent="0.3">
      <c r="A2481" s="12"/>
    </row>
    <row r="2482" spans="1:1" x14ac:dyDescent="0.3">
      <c r="A2482" s="12"/>
    </row>
    <row r="2483" spans="1:1" x14ac:dyDescent="0.3">
      <c r="A2483" s="12"/>
    </row>
    <row r="2484" spans="1:1" x14ac:dyDescent="0.3">
      <c r="A2484" s="12"/>
    </row>
    <row r="2485" spans="1:1" x14ac:dyDescent="0.3">
      <c r="A2485" s="12"/>
    </row>
    <row r="2486" spans="1:1" x14ac:dyDescent="0.3">
      <c r="A2486" s="12"/>
    </row>
    <row r="2487" spans="1:1" x14ac:dyDescent="0.3">
      <c r="A2487" s="12"/>
    </row>
    <row r="2488" spans="1:1" x14ac:dyDescent="0.3">
      <c r="A2488" s="12"/>
    </row>
    <row r="2489" spans="1:1" x14ac:dyDescent="0.3">
      <c r="A2489" s="12"/>
    </row>
    <row r="2490" spans="1:1" x14ac:dyDescent="0.3">
      <c r="A2490" s="12"/>
    </row>
    <row r="2491" spans="1:1" x14ac:dyDescent="0.3">
      <c r="A2491" s="12"/>
    </row>
    <row r="2492" spans="1:1" x14ac:dyDescent="0.3">
      <c r="A2492" s="12"/>
    </row>
    <row r="2493" spans="1:1" x14ac:dyDescent="0.3">
      <c r="A2493" s="12"/>
    </row>
    <row r="2494" spans="1:1" x14ac:dyDescent="0.3">
      <c r="A2494" s="12"/>
    </row>
    <row r="2495" spans="1:1" x14ac:dyDescent="0.3">
      <c r="A2495" s="12"/>
    </row>
    <row r="2496" spans="1:1" x14ac:dyDescent="0.3">
      <c r="A2496" s="12"/>
    </row>
    <row r="2497" spans="1:1" x14ac:dyDescent="0.3">
      <c r="A2497" s="12"/>
    </row>
    <row r="2498" spans="1:1" x14ac:dyDescent="0.3">
      <c r="A2498" s="12"/>
    </row>
    <row r="2499" spans="1:1" x14ac:dyDescent="0.3">
      <c r="A2499" s="12"/>
    </row>
    <row r="2500" spans="1:1" x14ac:dyDescent="0.3">
      <c r="A2500" s="12"/>
    </row>
  </sheetData>
  <phoneticPr fontId="7"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D65B-6699-4514-90DF-32A956D6BA9E}">
  <sheetPr>
    <tabColor rgb="FFFF0000"/>
  </sheetPr>
  <dimension ref="B1:N50"/>
  <sheetViews>
    <sheetView view="pageBreakPreview" zoomScale="60" zoomScaleNormal="77" workbookViewId="0">
      <selection activeCell="M25" sqref="M25"/>
    </sheetView>
  </sheetViews>
  <sheetFormatPr defaultRowHeight="14.4" x14ac:dyDescent="0.3"/>
  <cols>
    <col min="2" max="2" width="20.44140625" bestFit="1" customWidth="1"/>
    <col min="5" max="5" width="20.21875" bestFit="1" customWidth="1"/>
    <col min="6" max="6" width="19.6640625" bestFit="1" customWidth="1"/>
    <col min="7" max="9" width="15.5546875" bestFit="1" customWidth="1"/>
    <col min="10" max="10" width="10.77734375" bestFit="1" customWidth="1"/>
    <col min="11" max="11" width="15.5546875" bestFit="1" customWidth="1"/>
    <col min="12" max="12" width="23.5546875" bestFit="1" customWidth="1"/>
    <col min="13" max="13" width="15.44140625" bestFit="1" customWidth="1"/>
    <col min="14" max="14" width="14.33203125" bestFit="1" customWidth="1"/>
    <col min="15" max="16" width="15.5546875" bestFit="1" customWidth="1"/>
    <col min="17" max="17" width="13.44140625" bestFit="1" customWidth="1"/>
    <col min="18" max="18" width="20.44140625" bestFit="1" customWidth="1"/>
    <col min="19" max="136" width="15.5546875" bestFit="1" customWidth="1"/>
    <col min="137" max="137" width="10.77734375" bestFit="1" customWidth="1"/>
  </cols>
  <sheetData>
    <row r="1" spans="2:14" x14ac:dyDescent="0.3">
      <c r="C1" s="17"/>
      <c r="D1" s="18"/>
      <c r="K1" s="18"/>
    </row>
    <row r="2" spans="2:14" x14ac:dyDescent="0.3">
      <c r="C2" s="17"/>
      <c r="D2" s="18"/>
      <c r="K2" s="18"/>
    </row>
    <row r="3" spans="2:14" x14ac:dyDescent="0.3">
      <c r="C3" s="17"/>
      <c r="D3" s="18"/>
      <c r="E3" s="23" t="s">
        <v>159</v>
      </c>
      <c r="H3" s="23" t="s">
        <v>160</v>
      </c>
      <c r="K3" s="18"/>
      <c r="L3" s="23" t="s">
        <v>173</v>
      </c>
    </row>
    <row r="4" spans="2:14" x14ac:dyDescent="0.3">
      <c r="C4" s="17"/>
      <c r="D4" s="18"/>
      <c r="K4" s="18"/>
    </row>
    <row r="5" spans="2:14" x14ac:dyDescent="0.3">
      <c r="C5" s="17"/>
      <c r="D5" s="18"/>
      <c r="K5" s="18"/>
    </row>
    <row r="6" spans="2:14" x14ac:dyDescent="0.3">
      <c r="B6" s="15" t="s">
        <v>155</v>
      </c>
      <c r="C6" s="17"/>
      <c r="D6" s="18"/>
      <c r="E6" s="20" t="s">
        <v>133</v>
      </c>
      <c r="F6" s="20" t="s">
        <v>155</v>
      </c>
      <c r="K6" s="18"/>
      <c r="L6" s="20" t="s">
        <v>157</v>
      </c>
      <c r="M6" s="20" t="s">
        <v>171</v>
      </c>
      <c r="N6" s="20" t="s">
        <v>170</v>
      </c>
    </row>
    <row r="7" spans="2:14" x14ac:dyDescent="0.3">
      <c r="B7" s="16">
        <v>5359700</v>
      </c>
      <c r="C7" s="17"/>
      <c r="D7" s="18"/>
      <c r="E7" s="19" t="s">
        <v>142</v>
      </c>
      <c r="F7" s="16">
        <v>1470000</v>
      </c>
      <c r="H7" s="19" t="str">
        <f>IFERROR(E7,"-")</f>
        <v>SMARTPHONE</v>
      </c>
      <c r="I7" s="22">
        <f>IFERROR(F7,"-")</f>
        <v>1470000</v>
      </c>
      <c r="K7" s="18"/>
      <c r="L7" s="19" t="s">
        <v>146</v>
      </c>
      <c r="M7">
        <v>30</v>
      </c>
      <c r="N7" s="21">
        <v>11000</v>
      </c>
    </row>
    <row r="8" spans="2:14" x14ac:dyDescent="0.3">
      <c r="C8" s="17"/>
      <c r="D8" s="18"/>
      <c r="E8" s="19" t="s">
        <v>141</v>
      </c>
      <c r="F8" s="16">
        <v>1320000</v>
      </c>
      <c r="H8" s="19" t="str">
        <f t="shared" ref="H8:I11" si="0">IFERROR(E8,"-")</f>
        <v>LAPTOP</v>
      </c>
      <c r="I8" s="22">
        <f t="shared" si="0"/>
        <v>1320000</v>
      </c>
      <c r="K8" s="18"/>
      <c r="L8" s="19" t="s">
        <v>135</v>
      </c>
      <c r="M8">
        <v>36</v>
      </c>
      <c r="N8" s="21">
        <v>65000</v>
      </c>
    </row>
    <row r="9" spans="2:14" x14ac:dyDescent="0.3">
      <c r="C9" s="17"/>
      <c r="D9" s="18"/>
      <c r="E9" s="19" t="s">
        <v>145</v>
      </c>
      <c r="F9" s="16">
        <v>880000</v>
      </c>
      <c r="H9" s="19" t="str">
        <f t="shared" si="0"/>
        <v>TABLET</v>
      </c>
      <c r="I9" s="22">
        <f t="shared" si="0"/>
        <v>880000</v>
      </c>
      <c r="K9" s="18"/>
      <c r="L9" s="19" t="s">
        <v>147</v>
      </c>
      <c r="M9">
        <v>61</v>
      </c>
      <c r="N9" s="21">
        <v>40000</v>
      </c>
    </row>
    <row r="10" spans="2:14" x14ac:dyDescent="0.3">
      <c r="C10" s="17"/>
      <c r="D10" s="18"/>
      <c r="E10" s="19" t="s">
        <v>134</v>
      </c>
      <c r="F10" s="16">
        <v>612000</v>
      </c>
      <c r="H10" s="19" t="str">
        <f t="shared" si="0"/>
        <v>MONITOR</v>
      </c>
      <c r="I10" s="22">
        <f t="shared" si="0"/>
        <v>612000</v>
      </c>
      <c r="K10" s="18"/>
      <c r="L10" s="19" t="s">
        <v>136</v>
      </c>
      <c r="M10">
        <v>37</v>
      </c>
      <c r="N10" s="21">
        <v>12000</v>
      </c>
    </row>
    <row r="11" spans="2:14" x14ac:dyDescent="0.3">
      <c r="C11" s="17"/>
      <c r="D11" s="18"/>
      <c r="E11" s="19" t="s">
        <v>140</v>
      </c>
      <c r="F11" s="16">
        <v>255000</v>
      </c>
      <c r="H11" s="19" t="str">
        <f t="shared" si="0"/>
        <v>PRINTER</v>
      </c>
      <c r="I11" s="22">
        <f t="shared" si="0"/>
        <v>255000</v>
      </c>
      <c r="K11" s="18"/>
      <c r="L11" s="19" t="s">
        <v>141</v>
      </c>
      <c r="M11">
        <v>24</v>
      </c>
      <c r="N11" s="21">
        <v>550000</v>
      </c>
    </row>
    <row r="12" spans="2:14" x14ac:dyDescent="0.3">
      <c r="C12" s="17"/>
      <c r="D12" s="18"/>
      <c r="E12" s="19" t="s">
        <v>135</v>
      </c>
      <c r="F12" s="16">
        <v>180000</v>
      </c>
      <c r="K12" s="18"/>
      <c r="L12" s="19" t="s">
        <v>134</v>
      </c>
      <c r="M12">
        <v>51</v>
      </c>
      <c r="N12" s="21">
        <v>180000</v>
      </c>
    </row>
    <row r="13" spans="2:14" x14ac:dyDescent="0.3">
      <c r="C13" s="17"/>
      <c r="D13" s="18"/>
      <c r="E13" s="19" t="s">
        <v>147</v>
      </c>
      <c r="F13" s="16">
        <v>152500</v>
      </c>
      <c r="K13" s="18"/>
      <c r="L13" s="19" t="s">
        <v>143</v>
      </c>
      <c r="M13">
        <v>19</v>
      </c>
      <c r="N13" s="21">
        <v>6000</v>
      </c>
    </row>
    <row r="14" spans="2:14" x14ac:dyDescent="0.3">
      <c r="C14" s="17"/>
      <c r="D14" s="18"/>
      <c r="E14" s="19" t="s">
        <v>137</v>
      </c>
      <c r="F14" s="16">
        <v>117500</v>
      </c>
      <c r="K14" s="18"/>
      <c r="L14" s="19" t="s">
        <v>137</v>
      </c>
      <c r="M14">
        <v>47</v>
      </c>
      <c r="N14" s="21">
        <v>35000</v>
      </c>
    </row>
    <row r="15" spans="2:14" x14ac:dyDescent="0.3">
      <c r="C15" s="17"/>
      <c r="D15" s="18"/>
      <c r="E15" s="19" t="s">
        <v>138</v>
      </c>
      <c r="F15" s="16">
        <v>115500</v>
      </c>
      <c r="K15" s="18"/>
      <c r="L15" s="19" t="s">
        <v>140</v>
      </c>
      <c r="M15">
        <v>30</v>
      </c>
      <c r="N15" s="21">
        <v>76500</v>
      </c>
    </row>
    <row r="16" spans="2:14" x14ac:dyDescent="0.3">
      <c r="C16" s="17"/>
      <c r="D16" s="18"/>
      <c r="E16" s="19" t="s">
        <v>144</v>
      </c>
      <c r="F16" s="16">
        <v>96800</v>
      </c>
      <c r="K16" s="18"/>
      <c r="L16" s="19" t="s">
        <v>142</v>
      </c>
      <c r="M16">
        <v>49</v>
      </c>
      <c r="N16" s="21">
        <v>450000</v>
      </c>
    </row>
    <row r="17" spans="3:14" x14ac:dyDescent="0.3">
      <c r="C17" s="17"/>
      <c r="D17" s="18"/>
      <c r="E17" s="19" t="s">
        <v>139</v>
      </c>
      <c r="F17" s="16">
        <v>50400</v>
      </c>
      <c r="K17" s="18"/>
      <c r="L17" s="19" t="s">
        <v>138</v>
      </c>
      <c r="M17">
        <v>33</v>
      </c>
      <c r="N17" s="21">
        <v>45500</v>
      </c>
    </row>
    <row r="18" spans="3:14" x14ac:dyDescent="0.3">
      <c r="C18" s="17"/>
      <c r="D18" s="18"/>
      <c r="E18" s="19" t="s">
        <v>148</v>
      </c>
      <c r="F18" s="16">
        <v>39000</v>
      </c>
      <c r="K18" s="18"/>
      <c r="L18" s="19" t="s">
        <v>144</v>
      </c>
      <c r="M18">
        <v>44</v>
      </c>
      <c r="N18" s="21">
        <v>33000</v>
      </c>
    </row>
    <row r="19" spans="3:14" x14ac:dyDescent="0.3">
      <c r="C19" s="17"/>
      <c r="D19" s="18"/>
      <c r="E19" s="19" t="s">
        <v>146</v>
      </c>
      <c r="F19" s="16">
        <v>30000</v>
      </c>
      <c r="K19" s="18"/>
      <c r="L19" s="19" t="s">
        <v>145</v>
      </c>
      <c r="M19">
        <v>44</v>
      </c>
      <c r="N19" s="21">
        <v>240000</v>
      </c>
    </row>
    <row r="20" spans="3:14" x14ac:dyDescent="0.3">
      <c r="C20" s="17"/>
      <c r="D20" s="18"/>
      <c r="E20" s="19" t="s">
        <v>136</v>
      </c>
      <c r="F20" s="16">
        <v>29600</v>
      </c>
      <c r="K20" s="18"/>
      <c r="L20" s="19" t="s">
        <v>139</v>
      </c>
      <c r="M20">
        <v>72</v>
      </c>
      <c r="N20" s="21">
        <v>18200</v>
      </c>
    </row>
    <row r="21" spans="3:14" x14ac:dyDescent="0.3">
      <c r="C21" s="17"/>
      <c r="D21" s="18"/>
      <c r="E21" s="19" t="s">
        <v>143</v>
      </c>
      <c r="F21" s="16">
        <v>11400</v>
      </c>
      <c r="K21" s="18"/>
      <c r="L21" s="19" t="s">
        <v>148</v>
      </c>
      <c r="M21">
        <v>13</v>
      </c>
      <c r="N21" s="21">
        <v>18000</v>
      </c>
    </row>
    <row r="22" spans="3:14" x14ac:dyDescent="0.3">
      <c r="C22" s="17"/>
      <c r="D22" s="18"/>
      <c r="E22" s="19" t="s">
        <v>156</v>
      </c>
      <c r="F22" s="16">
        <v>5359700</v>
      </c>
      <c r="K22" s="18"/>
      <c r="L22" s="19" t="s">
        <v>156</v>
      </c>
      <c r="M22">
        <v>590</v>
      </c>
      <c r="N22" s="21">
        <v>1780200</v>
      </c>
    </row>
    <row r="23" spans="3:14" x14ac:dyDescent="0.3">
      <c r="C23" s="17"/>
      <c r="D23" s="18"/>
      <c r="K23" s="18"/>
    </row>
    <row r="24" spans="3:14" x14ac:dyDescent="0.3">
      <c r="C24" s="17"/>
      <c r="D24" s="18"/>
      <c r="K24" s="18"/>
    </row>
    <row r="25" spans="3:14" x14ac:dyDescent="0.3">
      <c r="C25" s="17"/>
      <c r="D25" s="18"/>
      <c r="K25" s="18"/>
    </row>
    <row r="26" spans="3:14" x14ac:dyDescent="0.3">
      <c r="C26" s="17"/>
      <c r="D26" s="18"/>
      <c r="K26" s="18"/>
    </row>
    <row r="27" spans="3:14" x14ac:dyDescent="0.3">
      <c r="C27" s="17"/>
      <c r="D27" s="18"/>
      <c r="K27" s="18"/>
    </row>
    <row r="28" spans="3:14" x14ac:dyDescent="0.3">
      <c r="C28" s="17"/>
      <c r="D28" s="18"/>
      <c r="K28" s="18"/>
    </row>
    <row r="29" spans="3:14" x14ac:dyDescent="0.3">
      <c r="C29" s="17"/>
      <c r="D29" s="18"/>
      <c r="K29" s="18"/>
    </row>
    <row r="30" spans="3:14" x14ac:dyDescent="0.3">
      <c r="C30" s="17"/>
      <c r="D30" s="18"/>
      <c r="K30" s="18"/>
    </row>
    <row r="31" spans="3:14" x14ac:dyDescent="0.3">
      <c r="C31" s="17"/>
      <c r="D31" s="18"/>
      <c r="K31" s="18"/>
    </row>
    <row r="32" spans="3:14" x14ac:dyDescent="0.3">
      <c r="C32" s="17"/>
      <c r="D32" s="18"/>
      <c r="K32" s="18"/>
    </row>
    <row r="33" spans="3:11" x14ac:dyDescent="0.3">
      <c r="C33" s="17"/>
      <c r="D33" s="18"/>
      <c r="K33" s="18"/>
    </row>
    <row r="34" spans="3:11" x14ac:dyDescent="0.3">
      <c r="C34" s="17"/>
      <c r="D34" s="18"/>
      <c r="K34" s="18"/>
    </row>
    <row r="35" spans="3:11" x14ac:dyDescent="0.3">
      <c r="C35" s="17"/>
      <c r="D35" s="18"/>
      <c r="K35" s="18"/>
    </row>
    <row r="36" spans="3:11" x14ac:dyDescent="0.3">
      <c r="C36" s="17"/>
      <c r="D36" s="18"/>
      <c r="K36" s="18"/>
    </row>
    <row r="37" spans="3:11" x14ac:dyDescent="0.3">
      <c r="C37" s="17"/>
      <c r="D37" s="18"/>
      <c r="K37" s="18"/>
    </row>
    <row r="38" spans="3:11" x14ac:dyDescent="0.3">
      <c r="C38" s="17"/>
      <c r="D38" s="18"/>
      <c r="K38" s="18"/>
    </row>
    <row r="39" spans="3:11" x14ac:dyDescent="0.3">
      <c r="C39" s="17"/>
      <c r="D39" s="18"/>
      <c r="K39" s="18"/>
    </row>
    <row r="40" spans="3:11" x14ac:dyDescent="0.3">
      <c r="C40" s="17"/>
      <c r="D40" s="18"/>
      <c r="K40" s="18"/>
    </row>
    <row r="41" spans="3:11" x14ac:dyDescent="0.3">
      <c r="C41" s="17"/>
      <c r="D41" s="18"/>
      <c r="K41" s="18"/>
    </row>
    <row r="42" spans="3:11" x14ac:dyDescent="0.3">
      <c r="C42" s="17"/>
      <c r="D42" s="18"/>
      <c r="K42" s="18"/>
    </row>
    <row r="43" spans="3:11" x14ac:dyDescent="0.3">
      <c r="C43" s="17"/>
      <c r="D43" s="18"/>
      <c r="K43" s="18"/>
    </row>
    <row r="44" spans="3:11" x14ac:dyDescent="0.3">
      <c r="C44" s="17"/>
      <c r="D44" s="18"/>
      <c r="K44" s="18"/>
    </row>
    <row r="45" spans="3:11" x14ac:dyDescent="0.3">
      <c r="C45" s="17"/>
      <c r="D45" s="18"/>
      <c r="K45" s="18"/>
    </row>
    <row r="46" spans="3:11" x14ac:dyDescent="0.3">
      <c r="C46" s="17"/>
      <c r="D46" s="18"/>
      <c r="K46" s="18"/>
    </row>
    <row r="47" spans="3:11" x14ac:dyDescent="0.3">
      <c r="C47" s="17"/>
      <c r="D47" s="18"/>
      <c r="K47" s="18"/>
    </row>
    <row r="48" spans="3:11" x14ac:dyDescent="0.3">
      <c r="C48" s="17"/>
      <c r="D48" s="18"/>
      <c r="K48" s="18"/>
    </row>
    <row r="49" spans="3:11" x14ac:dyDescent="0.3">
      <c r="C49" s="17"/>
      <c r="D49" s="18"/>
      <c r="K49" s="18"/>
    </row>
    <row r="50" spans="3:11" x14ac:dyDescent="0.3">
      <c r="C50" s="17"/>
      <c r="D50" s="18"/>
      <c r="K50" s="18"/>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1C29A-D750-4D54-86DB-953C95AB8260}">
  <sheetPr>
    <tabColor rgb="FFFF0000"/>
  </sheetPr>
  <dimension ref="A1:X141"/>
  <sheetViews>
    <sheetView view="pageBreakPreview" zoomScale="60" zoomScaleNormal="56" workbookViewId="0">
      <selection activeCell="J1" sqref="J1:K35"/>
    </sheetView>
  </sheetViews>
  <sheetFormatPr defaultRowHeight="14.4" x14ac:dyDescent="0.3"/>
  <cols>
    <col min="1" max="1" width="12.5546875" bestFit="1" customWidth="1"/>
    <col min="2" max="2" width="27.88671875" customWidth="1"/>
    <col min="3" max="3" width="29.21875" bestFit="1" customWidth="1"/>
    <col min="6" max="6" width="27.33203125" bestFit="1" customWidth="1"/>
    <col min="7" max="7" width="22.5546875" bestFit="1" customWidth="1"/>
    <col min="8" max="8" width="15.33203125" bestFit="1" customWidth="1"/>
    <col min="9" max="9" width="17.5546875" bestFit="1" customWidth="1"/>
    <col min="10" max="10" width="28.21875" bestFit="1" customWidth="1"/>
    <col min="11" max="11" width="27.33203125" bestFit="1" customWidth="1"/>
    <col min="12" max="12" width="12.21875" bestFit="1" customWidth="1"/>
    <col min="13" max="13" width="9.88671875" bestFit="1" customWidth="1"/>
    <col min="14" max="14" width="23.33203125" bestFit="1" customWidth="1"/>
    <col min="15" max="15" width="11.44140625" bestFit="1" customWidth="1"/>
    <col min="16" max="16" width="17.77734375" bestFit="1" customWidth="1"/>
    <col min="17" max="17" width="26.6640625" bestFit="1" customWidth="1"/>
    <col min="18" max="18" width="14" bestFit="1" customWidth="1"/>
    <col min="19" max="19" width="10.44140625" bestFit="1" customWidth="1"/>
    <col min="20" max="20" width="13.77734375" bestFit="1" customWidth="1"/>
    <col min="21" max="21" width="17" bestFit="1" customWidth="1"/>
    <col min="22" max="22" width="14.5546875" bestFit="1" customWidth="1"/>
    <col min="25" max="25" width="18.21875" bestFit="1" customWidth="1"/>
    <col min="26" max="26" width="26.33203125" bestFit="1" customWidth="1"/>
  </cols>
  <sheetData>
    <row r="1" spans="1:24" x14ac:dyDescent="0.3">
      <c r="A1" s="23" t="s">
        <v>172</v>
      </c>
      <c r="D1" s="26"/>
      <c r="E1" s="27"/>
      <c r="F1" s="23" t="s">
        <v>176</v>
      </c>
      <c r="J1" s="23" t="s">
        <v>177</v>
      </c>
      <c r="X1" s="28"/>
    </row>
    <row r="2" spans="1:24" x14ac:dyDescent="0.3">
      <c r="E2" s="27"/>
      <c r="X2" s="28"/>
    </row>
    <row r="3" spans="1:24" x14ac:dyDescent="0.3">
      <c r="A3" s="30" t="s">
        <v>157</v>
      </c>
      <c r="B3" s="30" t="s">
        <v>155</v>
      </c>
      <c r="C3" s="30" t="s">
        <v>174</v>
      </c>
      <c r="D3" s="25"/>
      <c r="F3" s="30" t="s">
        <v>155</v>
      </c>
      <c r="G3" s="30" t="s">
        <v>175</v>
      </c>
      <c r="H3" s="30"/>
      <c r="X3" s="28"/>
    </row>
    <row r="4" spans="1:24" x14ac:dyDescent="0.3">
      <c r="A4" s="19" t="s">
        <v>163</v>
      </c>
      <c r="B4" s="24">
        <v>524000</v>
      </c>
      <c r="C4" s="29">
        <v>524000</v>
      </c>
      <c r="D4" s="25"/>
      <c r="F4" s="30" t="s">
        <v>157</v>
      </c>
      <c r="G4" s="30" t="s">
        <v>136</v>
      </c>
      <c r="H4" s="30" t="s">
        <v>156</v>
      </c>
      <c r="J4" s="30" t="s">
        <v>157</v>
      </c>
      <c r="K4" s="30" t="s">
        <v>155</v>
      </c>
      <c r="X4" s="28"/>
    </row>
    <row r="5" spans="1:24" x14ac:dyDescent="0.3">
      <c r="A5" s="19" t="s">
        <v>168</v>
      </c>
      <c r="B5" s="24">
        <v>270500</v>
      </c>
      <c r="C5" s="29">
        <v>270500</v>
      </c>
      <c r="D5" s="25"/>
      <c r="F5" s="19" t="s">
        <v>124</v>
      </c>
      <c r="G5" s="31">
        <v>800</v>
      </c>
      <c r="H5" s="31">
        <v>800</v>
      </c>
      <c r="J5" s="19" t="s">
        <v>128</v>
      </c>
      <c r="K5">
        <v>55000</v>
      </c>
      <c r="X5" s="28"/>
    </row>
    <row r="6" spans="1:24" x14ac:dyDescent="0.3">
      <c r="A6" s="19" t="s">
        <v>167</v>
      </c>
      <c r="B6" s="24">
        <v>567800</v>
      </c>
      <c r="C6" s="29">
        <v>567800</v>
      </c>
      <c r="D6" s="25"/>
      <c r="F6" s="19" t="s">
        <v>108</v>
      </c>
      <c r="G6" s="31">
        <v>1600</v>
      </c>
      <c r="H6" s="31">
        <v>1600</v>
      </c>
      <c r="J6" s="19" t="s">
        <v>51</v>
      </c>
      <c r="K6">
        <v>15000</v>
      </c>
      <c r="X6" s="28"/>
    </row>
    <row r="7" spans="1:24" x14ac:dyDescent="0.3">
      <c r="A7" s="19" t="s">
        <v>166</v>
      </c>
      <c r="B7" s="24">
        <v>521500</v>
      </c>
      <c r="C7" s="29">
        <v>521500</v>
      </c>
      <c r="D7" s="25"/>
      <c r="F7" s="19" t="s">
        <v>110</v>
      </c>
      <c r="G7" s="31">
        <v>2400</v>
      </c>
      <c r="H7" s="31">
        <v>2400</v>
      </c>
      <c r="J7" s="19" t="s">
        <v>10</v>
      </c>
      <c r="K7">
        <v>25500</v>
      </c>
      <c r="X7" s="28"/>
    </row>
    <row r="8" spans="1:24" x14ac:dyDescent="0.3">
      <c r="A8" s="19" t="s">
        <v>162</v>
      </c>
      <c r="B8" s="24">
        <v>823800</v>
      </c>
      <c r="C8" s="29">
        <v>823800</v>
      </c>
      <c r="D8" s="25"/>
      <c r="F8" s="19" t="s">
        <v>121</v>
      </c>
      <c r="G8" s="31">
        <v>2400</v>
      </c>
      <c r="H8" s="31">
        <v>2400</v>
      </c>
      <c r="J8" s="19" t="s">
        <v>62</v>
      </c>
      <c r="K8">
        <v>275000</v>
      </c>
      <c r="X8" s="28"/>
    </row>
    <row r="9" spans="1:24" x14ac:dyDescent="0.3">
      <c r="A9" s="19" t="s">
        <v>165</v>
      </c>
      <c r="B9" s="24">
        <v>483600</v>
      </c>
      <c r="C9" s="29">
        <v>483600</v>
      </c>
      <c r="D9" s="25"/>
      <c r="F9" s="19" t="s">
        <v>75</v>
      </c>
      <c r="G9" s="31">
        <v>1600</v>
      </c>
      <c r="H9" s="31">
        <v>1600</v>
      </c>
      <c r="J9" s="19" t="s">
        <v>121</v>
      </c>
      <c r="K9">
        <v>5000</v>
      </c>
      <c r="X9" s="28"/>
    </row>
    <row r="10" spans="1:24" x14ac:dyDescent="0.3">
      <c r="A10" s="19" t="s">
        <v>161</v>
      </c>
      <c r="B10" s="24">
        <v>726000</v>
      </c>
      <c r="C10" s="29">
        <v>726000</v>
      </c>
      <c r="D10" s="25"/>
      <c r="F10" s="19" t="s">
        <v>54</v>
      </c>
      <c r="G10" s="31">
        <v>1600</v>
      </c>
      <c r="H10" s="31">
        <v>1600</v>
      </c>
      <c r="J10" s="19" t="s">
        <v>66</v>
      </c>
      <c r="K10">
        <v>42500</v>
      </c>
      <c r="X10" s="28"/>
    </row>
    <row r="11" spans="1:24" x14ac:dyDescent="0.3">
      <c r="A11" s="19" t="s">
        <v>169</v>
      </c>
      <c r="B11" s="24">
        <v>806700</v>
      </c>
      <c r="C11" s="29">
        <v>806700</v>
      </c>
      <c r="D11" s="25"/>
      <c r="F11" s="19" t="s">
        <v>3</v>
      </c>
      <c r="G11" s="31">
        <v>2400</v>
      </c>
      <c r="H11" s="31">
        <v>2400</v>
      </c>
      <c r="J11" s="19" t="s">
        <v>8</v>
      </c>
      <c r="K11">
        <v>10000</v>
      </c>
      <c r="X11" s="28"/>
    </row>
    <row r="12" spans="1:24" x14ac:dyDescent="0.3">
      <c r="A12" s="19" t="s">
        <v>164</v>
      </c>
      <c r="B12" s="24">
        <v>635800</v>
      </c>
      <c r="C12" s="29">
        <v>635800</v>
      </c>
      <c r="D12" s="25"/>
      <c r="F12" s="19" t="s">
        <v>32</v>
      </c>
      <c r="G12" s="31">
        <v>4000</v>
      </c>
      <c r="H12" s="31">
        <v>4000</v>
      </c>
      <c r="J12" s="19" t="s">
        <v>75</v>
      </c>
      <c r="K12">
        <v>220000</v>
      </c>
      <c r="X12" s="28"/>
    </row>
    <row r="13" spans="1:24" x14ac:dyDescent="0.3">
      <c r="A13" s="19" t="s">
        <v>156</v>
      </c>
      <c r="B13" s="24">
        <v>5359700</v>
      </c>
      <c r="C13" s="29">
        <v>5359700</v>
      </c>
      <c r="D13" s="25"/>
      <c r="F13" s="19" t="s">
        <v>46</v>
      </c>
      <c r="G13" s="31">
        <v>1600</v>
      </c>
      <c r="H13" s="31">
        <v>1600</v>
      </c>
      <c r="J13" s="19" t="s">
        <v>96</v>
      </c>
      <c r="K13">
        <v>25000</v>
      </c>
      <c r="X13" s="28"/>
    </row>
    <row r="14" spans="1:24" x14ac:dyDescent="0.3">
      <c r="D14" s="25"/>
      <c r="F14" s="19" t="s">
        <v>122</v>
      </c>
      <c r="G14" s="31">
        <v>2400</v>
      </c>
      <c r="H14" s="31">
        <v>2400</v>
      </c>
      <c r="J14" s="19" t="s">
        <v>81</v>
      </c>
      <c r="K14">
        <v>25000</v>
      </c>
      <c r="X14" s="28"/>
    </row>
    <row r="15" spans="1:24" x14ac:dyDescent="0.3">
      <c r="D15" s="25"/>
      <c r="F15" s="19" t="s">
        <v>43</v>
      </c>
      <c r="G15" s="31">
        <v>4000</v>
      </c>
      <c r="H15" s="31">
        <v>4000</v>
      </c>
      <c r="J15" s="19" t="s">
        <v>3</v>
      </c>
      <c r="K15">
        <v>20000</v>
      </c>
      <c r="X15" s="28"/>
    </row>
    <row r="16" spans="1:24" x14ac:dyDescent="0.3">
      <c r="D16" s="25"/>
      <c r="F16" s="19" t="s">
        <v>44</v>
      </c>
      <c r="G16" s="31">
        <v>800</v>
      </c>
      <c r="H16" s="31">
        <v>800</v>
      </c>
      <c r="J16" s="19" t="s">
        <v>29</v>
      </c>
      <c r="K16">
        <v>10000</v>
      </c>
      <c r="X16" s="28"/>
    </row>
    <row r="17" spans="4:24" x14ac:dyDescent="0.3">
      <c r="D17" s="25"/>
      <c r="F17" s="19" t="s">
        <v>25</v>
      </c>
      <c r="G17" s="31">
        <v>1600</v>
      </c>
      <c r="H17" s="31">
        <v>1600</v>
      </c>
      <c r="J17" s="19" t="s">
        <v>9</v>
      </c>
      <c r="K17">
        <v>110000</v>
      </c>
      <c r="X17" s="28"/>
    </row>
    <row r="18" spans="4:24" x14ac:dyDescent="0.3">
      <c r="D18" s="25"/>
      <c r="F18" s="19" t="s">
        <v>107</v>
      </c>
      <c r="G18" s="31">
        <v>2400</v>
      </c>
      <c r="H18" s="31">
        <v>2400</v>
      </c>
      <c r="J18" s="19" t="s">
        <v>80</v>
      </c>
      <c r="K18">
        <v>34000</v>
      </c>
      <c r="X18" s="28"/>
    </row>
    <row r="19" spans="4:24" x14ac:dyDescent="0.3">
      <c r="D19" s="25"/>
      <c r="F19" s="19" t="s">
        <v>156</v>
      </c>
      <c r="G19" s="31">
        <v>29600</v>
      </c>
      <c r="H19" s="31">
        <v>29600</v>
      </c>
      <c r="J19" s="19" t="s">
        <v>61</v>
      </c>
      <c r="K19">
        <v>165000</v>
      </c>
      <c r="X19" s="28"/>
    </row>
    <row r="20" spans="4:24" x14ac:dyDescent="0.3">
      <c r="D20" s="25"/>
      <c r="J20" s="19" t="s">
        <v>5</v>
      </c>
      <c r="K20">
        <v>25500</v>
      </c>
      <c r="X20" s="28"/>
    </row>
    <row r="21" spans="4:24" x14ac:dyDescent="0.3">
      <c r="D21" s="25"/>
      <c r="J21" s="19" t="s">
        <v>11</v>
      </c>
      <c r="K21">
        <v>55000</v>
      </c>
      <c r="X21" s="28"/>
    </row>
    <row r="22" spans="4:24" x14ac:dyDescent="0.3">
      <c r="D22" s="25"/>
      <c r="J22" s="19" t="s">
        <v>12</v>
      </c>
      <c r="K22">
        <v>34000</v>
      </c>
      <c r="X22" s="28"/>
    </row>
    <row r="23" spans="4:24" x14ac:dyDescent="0.3">
      <c r="D23" s="25"/>
      <c r="J23" s="19" t="s">
        <v>122</v>
      </c>
      <c r="K23">
        <v>110000</v>
      </c>
      <c r="X23" s="28"/>
    </row>
    <row r="24" spans="4:24" x14ac:dyDescent="0.3">
      <c r="D24" s="25"/>
      <c r="J24" s="19" t="s">
        <v>72</v>
      </c>
      <c r="K24">
        <v>8500</v>
      </c>
      <c r="X24" s="28"/>
    </row>
    <row r="25" spans="4:24" x14ac:dyDescent="0.3">
      <c r="D25" s="25"/>
      <c r="J25" s="19" t="s">
        <v>65</v>
      </c>
      <c r="K25">
        <v>10000</v>
      </c>
      <c r="X25" s="28"/>
    </row>
    <row r="26" spans="4:24" x14ac:dyDescent="0.3">
      <c r="D26" s="25"/>
      <c r="J26" s="19" t="s">
        <v>74</v>
      </c>
      <c r="K26">
        <v>15000</v>
      </c>
      <c r="X26" s="28"/>
    </row>
    <row r="27" spans="4:24" x14ac:dyDescent="0.3">
      <c r="D27" s="25"/>
      <c r="J27" s="19" t="s">
        <v>119</v>
      </c>
      <c r="K27">
        <v>110000</v>
      </c>
      <c r="X27" s="28"/>
    </row>
    <row r="28" spans="4:24" x14ac:dyDescent="0.3">
      <c r="D28" s="25"/>
      <c r="J28" s="19" t="s">
        <v>40</v>
      </c>
      <c r="K28">
        <v>47500</v>
      </c>
      <c r="X28" s="28"/>
    </row>
    <row r="29" spans="4:24" x14ac:dyDescent="0.3">
      <c r="D29" s="25"/>
      <c r="J29" s="19" t="s">
        <v>83</v>
      </c>
      <c r="K29">
        <v>34000</v>
      </c>
      <c r="X29" s="28"/>
    </row>
    <row r="30" spans="4:24" x14ac:dyDescent="0.3">
      <c r="D30" s="25"/>
      <c r="J30" s="19" t="s">
        <v>91</v>
      </c>
      <c r="K30">
        <v>8500</v>
      </c>
      <c r="X30" s="28"/>
    </row>
    <row r="31" spans="4:24" x14ac:dyDescent="0.3">
      <c r="D31" s="25"/>
      <c r="J31" s="19" t="s">
        <v>109</v>
      </c>
      <c r="K31">
        <v>25000</v>
      </c>
      <c r="X31" s="28"/>
    </row>
    <row r="32" spans="4:24" x14ac:dyDescent="0.3">
      <c r="D32" s="25"/>
      <c r="J32" s="19" t="s">
        <v>2</v>
      </c>
      <c r="K32">
        <v>170000</v>
      </c>
      <c r="X32" s="28"/>
    </row>
    <row r="33" spans="4:24" x14ac:dyDescent="0.3">
      <c r="D33" s="25"/>
      <c r="J33" s="19" t="s">
        <v>56</v>
      </c>
      <c r="K33">
        <v>55000</v>
      </c>
      <c r="X33" s="28"/>
    </row>
    <row r="34" spans="4:24" x14ac:dyDescent="0.3">
      <c r="D34" s="25"/>
      <c r="J34" s="19" t="s">
        <v>68</v>
      </c>
      <c r="K34">
        <v>10000</v>
      </c>
      <c r="X34" s="28"/>
    </row>
    <row r="35" spans="4:24" x14ac:dyDescent="0.3">
      <c r="D35" s="25"/>
      <c r="J35" s="19" t="s">
        <v>156</v>
      </c>
      <c r="K35">
        <v>1755000</v>
      </c>
      <c r="X35" s="28"/>
    </row>
    <row r="36" spans="4:24" x14ac:dyDescent="0.3">
      <c r="D36" s="25"/>
      <c r="X36" s="28"/>
    </row>
    <row r="37" spans="4:24" x14ac:dyDescent="0.3">
      <c r="D37" s="25"/>
      <c r="X37" s="28"/>
    </row>
    <row r="38" spans="4:24" x14ac:dyDescent="0.3">
      <c r="D38" s="25"/>
      <c r="X38" s="28"/>
    </row>
    <row r="39" spans="4:24" x14ac:dyDescent="0.3">
      <c r="D39" s="25"/>
      <c r="X39" s="28"/>
    </row>
    <row r="40" spans="4:24" x14ac:dyDescent="0.3">
      <c r="D40" s="25"/>
      <c r="X40" s="28"/>
    </row>
    <row r="41" spans="4:24" x14ac:dyDescent="0.3">
      <c r="D41" s="25"/>
      <c r="X41" s="28"/>
    </row>
    <row r="42" spans="4:24" x14ac:dyDescent="0.3">
      <c r="D42" s="25"/>
      <c r="X42" s="28"/>
    </row>
    <row r="43" spans="4:24" x14ac:dyDescent="0.3">
      <c r="D43" s="25"/>
      <c r="X43" s="28"/>
    </row>
    <row r="44" spans="4:24" x14ac:dyDescent="0.3">
      <c r="D44" s="25"/>
      <c r="X44" s="28"/>
    </row>
    <row r="45" spans="4:24" x14ac:dyDescent="0.3">
      <c r="D45" s="25"/>
      <c r="X45" s="28"/>
    </row>
    <row r="46" spans="4:24" x14ac:dyDescent="0.3">
      <c r="D46" s="25"/>
      <c r="X46" s="28"/>
    </row>
    <row r="47" spans="4:24" x14ac:dyDescent="0.3">
      <c r="D47" s="25"/>
      <c r="X47" s="28"/>
    </row>
    <row r="48" spans="4:24" x14ac:dyDescent="0.3">
      <c r="D48" s="25"/>
      <c r="X48" s="28"/>
    </row>
    <row r="49" spans="4:24" x14ac:dyDescent="0.3">
      <c r="D49" s="25"/>
      <c r="X49" s="28"/>
    </row>
    <row r="50" spans="4:24" x14ac:dyDescent="0.3">
      <c r="D50" s="25"/>
      <c r="X50" s="28"/>
    </row>
    <row r="51" spans="4:24" x14ac:dyDescent="0.3">
      <c r="D51" s="25"/>
      <c r="X51" s="28"/>
    </row>
    <row r="52" spans="4:24" x14ac:dyDescent="0.3">
      <c r="D52" s="25"/>
      <c r="X52" s="28"/>
    </row>
    <row r="53" spans="4:24" x14ac:dyDescent="0.3">
      <c r="D53" s="25"/>
      <c r="X53" s="28"/>
    </row>
    <row r="54" spans="4:24" x14ac:dyDescent="0.3">
      <c r="D54" s="25"/>
      <c r="X54" s="28"/>
    </row>
    <row r="55" spans="4:24" x14ac:dyDescent="0.3">
      <c r="D55" s="25"/>
      <c r="X55" s="28"/>
    </row>
    <row r="56" spans="4:24" x14ac:dyDescent="0.3">
      <c r="D56" s="25"/>
      <c r="X56" s="28"/>
    </row>
    <row r="57" spans="4:24" x14ac:dyDescent="0.3">
      <c r="D57" s="25"/>
      <c r="X57" s="28"/>
    </row>
    <row r="58" spans="4:24" x14ac:dyDescent="0.3">
      <c r="D58" s="25"/>
      <c r="X58" s="28"/>
    </row>
    <row r="59" spans="4:24" x14ac:dyDescent="0.3">
      <c r="D59" s="25"/>
      <c r="X59" s="28"/>
    </row>
    <row r="60" spans="4:24" x14ac:dyDescent="0.3">
      <c r="D60" s="25"/>
      <c r="X60" s="28"/>
    </row>
    <row r="61" spans="4:24" x14ac:dyDescent="0.3">
      <c r="D61" s="25"/>
      <c r="X61" s="28"/>
    </row>
    <row r="62" spans="4:24" x14ac:dyDescent="0.3">
      <c r="D62" s="25"/>
      <c r="X62" s="28"/>
    </row>
    <row r="63" spans="4:24" x14ac:dyDescent="0.3">
      <c r="D63" s="25"/>
      <c r="X63" s="28"/>
    </row>
    <row r="64" spans="4:24" x14ac:dyDescent="0.3">
      <c r="D64" s="25"/>
      <c r="X64" s="28"/>
    </row>
    <row r="65" spans="4:24" x14ac:dyDescent="0.3">
      <c r="D65" s="25"/>
      <c r="X65" s="28"/>
    </row>
    <row r="66" spans="4:24" x14ac:dyDescent="0.3">
      <c r="D66" s="25"/>
      <c r="X66" s="28"/>
    </row>
    <row r="67" spans="4:24" x14ac:dyDescent="0.3">
      <c r="D67" s="25"/>
      <c r="X67" s="28"/>
    </row>
    <row r="68" spans="4:24" x14ac:dyDescent="0.3">
      <c r="D68" s="25"/>
      <c r="X68" s="28"/>
    </row>
    <row r="69" spans="4:24" x14ac:dyDescent="0.3">
      <c r="D69" s="25"/>
      <c r="X69" s="28"/>
    </row>
    <row r="70" spans="4:24" x14ac:dyDescent="0.3">
      <c r="D70" s="25"/>
      <c r="X70" s="28"/>
    </row>
    <row r="71" spans="4:24" x14ac:dyDescent="0.3">
      <c r="D71" s="25"/>
      <c r="X71" s="28"/>
    </row>
    <row r="72" spans="4:24" x14ac:dyDescent="0.3">
      <c r="D72" s="25"/>
      <c r="X72" s="28"/>
    </row>
    <row r="73" spans="4:24" x14ac:dyDescent="0.3">
      <c r="D73" s="25"/>
      <c r="X73" s="28"/>
    </row>
    <row r="74" spans="4:24" x14ac:dyDescent="0.3">
      <c r="D74" s="25"/>
      <c r="X74" s="28"/>
    </row>
    <row r="75" spans="4:24" x14ac:dyDescent="0.3">
      <c r="D75" s="25"/>
      <c r="X75" s="28"/>
    </row>
    <row r="76" spans="4:24" x14ac:dyDescent="0.3">
      <c r="D76" s="25"/>
      <c r="X76" s="28"/>
    </row>
    <row r="77" spans="4:24" x14ac:dyDescent="0.3">
      <c r="D77" s="25"/>
      <c r="X77" s="28"/>
    </row>
    <row r="78" spans="4:24" x14ac:dyDescent="0.3">
      <c r="D78" s="25"/>
      <c r="X78" s="28"/>
    </row>
    <row r="79" spans="4:24" x14ac:dyDescent="0.3">
      <c r="D79" s="25"/>
      <c r="X79" s="28"/>
    </row>
    <row r="80" spans="4:24" x14ac:dyDescent="0.3">
      <c r="D80" s="25"/>
      <c r="X80" s="28"/>
    </row>
    <row r="81" spans="4:24" x14ac:dyDescent="0.3">
      <c r="D81" s="25"/>
      <c r="X81" s="28"/>
    </row>
    <row r="82" spans="4:24" x14ac:dyDescent="0.3">
      <c r="D82" s="25"/>
      <c r="X82" s="28"/>
    </row>
    <row r="83" spans="4:24" x14ac:dyDescent="0.3">
      <c r="D83" s="25"/>
      <c r="X83" s="28"/>
    </row>
    <row r="84" spans="4:24" x14ac:dyDescent="0.3">
      <c r="D84" s="25"/>
      <c r="X84" s="28"/>
    </row>
    <row r="85" spans="4:24" x14ac:dyDescent="0.3">
      <c r="D85" s="25"/>
      <c r="X85" s="28"/>
    </row>
    <row r="86" spans="4:24" x14ac:dyDescent="0.3">
      <c r="D86" s="25"/>
      <c r="X86" s="28"/>
    </row>
    <row r="87" spans="4:24" x14ac:dyDescent="0.3">
      <c r="D87" s="25"/>
      <c r="X87" s="28"/>
    </row>
    <row r="88" spans="4:24" x14ac:dyDescent="0.3">
      <c r="D88" s="25"/>
      <c r="X88" s="28"/>
    </row>
    <row r="89" spans="4:24" x14ac:dyDescent="0.3">
      <c r="D89" s="25"/>
      <c r="X89" s="28"/>
    </row>
    <row r="90" spans="4:24" x14ac:dyDescent="0.3">
      <c r="D90" s="25"/>
      <c r="X90" s="28"/>
    </row>
    <row r="91" spans="4:24" x14ac:dyDescent="0.3">
      <c r="D91" s="25"/>
      <c r="X91" s="28"/>
    </row>
    <row r="92" spans="4:24" x14ac:dyDescent="0.3">
      <c r="D92" s="25"/>
      <c r="X92" s="28"/>
    </row>
    <row r="93" spans="4:24" x14ac:dyDescent="0.3">
      <c r="D93" s="25"/>
      <c r="X93" s="28"/>
    </row>
    <row r="94" spans="4:24" x14ac:dyDescent="0.3">
      <c r="D94" s="25"/>
      <c r="X94" s="28"/>
    </row>
    <row r="95" spans="4:24" x14ac:dyDescent="0.3">
      <c r="D95" s="25"/>
      <c r="X95" s="28"/>
    </row>
    <row r="96" spans="4:24" x14ac:dyDescent="0.3">
      <c r="D96" s="25"/>
      <c r="X96" s="28"/>
    </row>
    <row r="97" spans="4:24" x14ac:dyDescent="0.3">
      <c r="D97" s="25"/>
      <c r="X97" s="28"/>
    </row>
    <row r="98" spans="4:24" x14ac:dyDescent="0.3">
      <c r="D98" s="25"/>
      <c r="X98" s="28"/>
    </row>
    <row r="99" spans="4:24" x14ac:dyDescent="0.3">
      <c r="D99" s="25"/>
      <c r="X99" s="28"/>
    </row>
    <row r="100" spans="4:24" x14ac:dyDescent="0.3">
      <c r="D100" s="25"/>
      <c r="X100" s="28"/>
    </row>
    <row r="101" spans="4:24" x14ac:dyDescent="0.3">
      <c r="D101" s="25"/>
      <c r="X101" s="28"/>
    </row>
    <row r="102" spans="4:24" x14ac:dyDescent="0.3">
      <c r="D102" s="25"/>
      <c r="X102" s="28"/>
    </row>
    <row r="103" spans="4:24" x14ac:dyDescent="0.3">
      <c r="D103" s="25"/>
      <c r="X103" s="28"/>
    </row>
    <row r="104" spans="4:24" x14ac:dyDescent="0.3">
      <c r="D104" s="25"/>
      <c r="X104" s="28"/>
    </row>
    <row r="105" spans="4:24" x14ac:dyDescent="0.3">
      <c r="D105" s="25"/>
      <c r="X105" s="28"/>
    </row>
    <row r="106" spans="4:24" x14ac:dyDescent="0.3">
      <c r="D106" s="25"/>
      <c r="X106" s="28"/>
    </row>
    <row r="107" spans="4:24" x14ac:dyDescent="0.3">
      <c r="D107" s="25"/>
      <c r="X107" s="28"/>
    </row>
    <row r="108" spans="4:24" x14ac:dyDescent="0.3">
      <c r="D108" s="25"/>
      <c r="X108" s="28"/>
    </row>
    <row r="109" spans="4:24" x14ac:dyDescent="0.3">
      <c r="D109" s="25"/>
      <c r="X109" s="28"/>
    </row>
    <row r="110" spans="4:24" x14ac:dyDescent="0.3">
      <c r="D110" s="25"/>
      <c r="X110" s="28"/>
    </row>
    <row r="111" spans="4:24" x14ac:dyDescent="0.3">
      <c r="D111" s="25"/>
      <c r="X111" s="28"/>
    </row>
    <row r="112" spans="4:24" x14ac:dyDescent="0.3">
      <c r="D112" s="25"/>
      <c r="X112" s="28"/>
    </row>
    <row r="113" spans="4:24" x14ac:dyDescent="0.3">
      <c r="D113" s="25"/>
      <c r="X113" s="28"/>
    </row>
    <row r="114" spans="4:24" x14ac:dyDescent="0.3">
      <c r="D114" s="25"/>
      <c r="X114" s="28"/>
    </row>
    <row r="115" spans="4:24" x14ac:dyDescent="0.3">
      <c r="D115" s="25"/>
      <c r="X115" s="28"/>
    </row>
    <row r="116" spans="4:24" x14ac:dyDescent="0.3">
      <c r="D116" s="25"/>
      <c r="X116" s="28"/>
    </row>
    <row r="117" spans="4:24" x14ac:dyDescent="0.3">
      <c r="D117" s="25"/>
      <c r="X117" s="28"/>
    </row>
    <row r="118" spans="4:24" x14ac:dyDescent="0.3">
      <c r="D118" s="25"/>
      <c r="X118" s="28"/>
    </row>
    <row r="119" spans="4:24" x14ac:dyDescent="0.3">
      <c r="D119" s="25"/>
      <c r="X119" s="28"/>
    </row>
    <row r="120" spans="4:24" x14ac:dyDescent="0.3">
      <c r="D120" s="25"/>
      <c r="X120" s="28"/>
    </row>
    <row r="121" spans="4:24" x14ac:dyDescent="0.3">
      <c r="D121" s="25"/>
      <c r="X121" s="28"/>
    </row>
    <row r="122" spans="4:24" x14ac:dyDescent="0.3">
      <c r="D122" s="25"/>
      <c r="X122" s="28"/>
    </row>
    <row r="123" spans="4:24" x14ac:dyDescent="0.3">
      <c r="D123" s="25"/>
      <c r="X123" s="28"/>
    </row>
    <row r="124" spans="4:24" x14ac:dyDescent="0.3">
      <c r="D124" s="25"/>
      <c r="X124" s="28"/>
    </row>
    <row r="125" spans="4:24" x14ac:dyDescent="0.3">
      <c r="D125" s="25"/>
      <c r="X125" s="28"/>
    </row>
    <row r="126" spans="4:24" x14ac:dyDescent="0.3">
      <c r="D126" s="25"/>
      <c r="X126" s="28"/>
    </row>
    <row r="127" spans="4:24" x14ac:dyDescent="0.3">
      <c r="D127" s="25"/>
      <c r="X127" s="28"/>
    </row>
    <row r="128" spans="4:24" x14ac:dyDescent="0.3">
      <c r="D128" s="25"/>
      <c r="X128" s="28"/>
    </row>
    <row r="129" spans="4:24" x14ac:dyDescent="0.3">
      <c r="D129" s="25"/>
      <c r="X129" s="28"/>
    </row>
    <row r="130" spans="4:24" x14ac:dyDescent="0.3">
      <c r="D130" s="25"/>
      <c r="X130" s="28"/>
    </row>
    <row r="131" spans="4:24" x14ac:dyDescent="0.3">
      <c r="D131" s="25"/>
      <c r="X131" s="28"/>
    </row>
    <row r="132" spans="4:24" x14ac:dyDescent="0.3">
      <c r="D132" s="25"/>
      <c r="X132" s="28"/>
    </row>
    <row r="133" spans="4:24" x14ac:dyDescent="0.3">
      <c r="D133" s="25"/>
      <c r="X133" s="28"/>
    </row>
    <row r="134" spans="4:24" x14ac:dyDescent="0.3">
      <c r="D134" s="25"/>
      <c r="X134" s="28"/>
    </row>
    <row r="135" spans="4:24" x14ac:dyDescent="0.3">
      <c r="D135" s="25"/>
      <c r="X135" s="28"/>
    </row>
    <row r="136" spans="4:24" x14ac:dyDescent="0.3">
      <c r="D136" s="25"/>
      <c r="X136" s="28"/>
    </row>
    <row r="137" spans="4:24" x14ac:dyDescent="0.3">
      <c r="D137" s="25"/>
      <c r="X137" s="28"/>
    </row>
    <row r="138" spans="4:24" x14ac:dyDescent="0.3">
      <c r="D138" s="25"/>
      <c r="X138" s="28"/>
    </row>
    <row r="139" spans="4:24" x14ac:dyDescent="0.3">
      <c r="D139" s="25"/>
      <c r="X139" s="28"/>
    </row>
    <row r="140" spans="4:24" x14ac:dyDescent="0.3">
      <c r="D140" s="25"/>
      <c r="X140" s="28"/>
    </row>
    <row r="141" spans="4:24" x14ac:dyDescent="0.3">
      <c r="X141" s="28"/>
    </row>
  </sheetData>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8F81-4623-4739-BA1D-A2FA73D6AE43}">
  <sheetPr>
    <tabColor rgb="FF0070C0"/>
  </sheetPr>
  <dimension ref="H17:H25"/>
  <sheetViews>
    <sheetView showGridLines="0" showRowColHeaders="0" tabSelected="1" zoomScale="84" zoomScaleNormal="115" workbookViewId="0">
      <selection activeCell="W18" sqref="W18"/>
    </sheetView>
  </sheetViews>
  <sheetFormatPr defaultRowHeight="14.4" x14ac:dyDescent="0.3"/>
  <cols>
    <col min="1" max="16384" width="8.88671875" style="13"/>
  </cols>
  <sheetData>
    <row r="17" spans="8:8" x14ac:dyDescent="0.3">
      <c r="H17" s="14"/>
    </row>
    <row r="25" spans="8:8" x14ac:dyDescent="0.3">
      <c r="H25" s="13" t="s">
        <v>154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Database</vt:lpstr>
      <vt:lpstr>Pivot Tables</vt:lpstr>
      <vt:lpstr>Pivot Tables2</vt:lpstr>
      <vt:lpstr>Dashboard</vt:lpstr>
      <vt:lpstr>'Pivot Tables'!Print_Area</vt:lpstr>
      <vt:lpstr>'Pivot Tables2'!Print_Area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P</dc:creator>
  <cp:lastModifiedBy>Harish P</cp:lastModifiedBy>
  <dcterms:created xsi:type="dcterms:W3CDTF">2025-10-28T12:09:20Z</dcterms:created>
  <dcterms:modified xsi:type="dcterms:W3CDTF">2025-11-24T14:33:08Z</dcterms:modified>
</cp:coreProperties>
</file>